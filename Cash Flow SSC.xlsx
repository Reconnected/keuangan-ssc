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 File\VAR\File Pribadi\SSC\"/>
    </mc:Choice>
  </mc:AlternateContent>
  <bookViews>
    <workbookView xWindow="0" yWindow="0" windowWidth="20490" windowHeight="7755"/>
  </bookViews>
  <sheets>
    <sheet name="Transaksi" sheetId="1" r:id="rId1"/>
    <sheet name="Ringkasan" sheetId="2" r:id="rId2"/>
    <sheet name="Ceklist Camping" sheetId="3" r:id="rId3"/>
    <sheet name="Corat Coret" sheetId="4" r:id="rId4"/>
  </sheets>
  <calcPr calcId="152511"/>
</workbook>
</file>

<file path=xl/calcChain.xml><?xml version="1.0" encoding="utf-8"?>
<calcChain xmlns="http://schemas.openxmlformats.org/spreadsheetml/2006/main">
  <c r="A34" i="4" l="1"/>
  <c r="B4" i="2" l="1"/>
  <c r="B3" i="2"/>
  <c r="E248" i="1"/>
  <c r="E247" i="1" l="1"/>
  <c r="E246" i="1" l="1"/>
  <c r="E245" i="1" l="1"/>
  <c r="E244" i="1" l="1"/>
  <c r="E243" i="1" l="1"/>
  <c r="E242" i="1" l="1"/>
  <c r="E241" i="1"/>
  <c r="E240" i="1"/>
  <c r="E2" i="1" l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B5" i="2" l="1"/>
</calcChain>
</file>

<file path=xl/sharedStrings.xml><?xml version="1.0" encoding="utf-8"?>
<sst xmlns="http://schemas.openxmlformats.org/spreadsheetml/2006/main" count="562" uniqueCount="268">
  <si>
    <t>Tanggal</t>
  </si>
  <si>
    <t>Keterangan</t>
  </si>
  <si>
    <t>Pemasukan</t>
  </si>
  <si>
    <t>Pengeluaran</t>
  </si>
  <si>
    <t>Saldo</t>
  </si>
  <si>
    <t>LAPORAN KAS</t>
  </si>
  <si>
    <t>Total Pemasukan</t>
  </si>
  <si>
    <t>Total Pengeluaran</t>
  </si>
  <si>
    <t>Saldo Akhir</t>
  </si>
  <si>
    <t>20 Mei 2026</t>
  </si>
  <si>
    <t>Dana kaskes hasil jual roofrack Om Saidov</t>
  </si>
  <si>
    <t>12 Juni 2026</t>
  </si>
  <si>
    <t>Dana dari sponsor iqos</t>
  </si>
  <si>
    <t>14 Juni 2026</t>
  </si>
  <si>
    <t>Missing order buntut gajah meet 7</t>
  </si>
  <si>
    <t>Pembayaran pilot drone meet 7 ssc</t>
  </si>
  <si>
    <t>Lebih bayar menu makan oleh om mugu</t>
  </si>
  <si>
    <t>24 Juni 2026</t>
  </si>
  <si>
    <t>Pembayaran stiker vinil</t>
  </si>
  <si>
    <t>Biaya Pindah NLA dari 119 ke 63</t>
  </si>
  <si>
    <t>Biaya Pindah NLA dari 126 ke 73</t>
  </si>
  <si>
    <t>Biaya Pindah NLA 134 ke 126</t>
  </si>
  <si>
    <t>2 Juli 2026</t>
  </si>
  <si>
    <t>Biaya Pindah NLA ke 109 + Pembelian Sticker SSC</t>
  </si>
  <si>
    <t>4 Juli 2026</t>
  </si>
  <si>
    <t>Biaya Pindah NLA 17 ke 11</t>
  </si>
  <si>
    <t>Biaya Pindah NLA 126 ke 2</t>
  </si>
  <si>
    <t>8 Juli 2026</t>
  </si>
  <si>
    <t>Biaya Pindah NLA 121 ke 17</t>
  </si>
  <si>
    <t>15 Juli 2026</t>
  </si>
  <si>
    <t>Biaya Pindah NLA ( Mudji Widodo )</t>
  </si>
  <si>
    <t>Biaya Pindah NLA ( Yu Kyung Jae )</t>
  </si>
  <si>
    <t>Pembelian Sticker</t>
  </si>
  <si>
    <t>19 Juli 2026</t>
  </si>
  <si>
    <t>Biaya Pindah NLA ( Baihaki Hilmi )</t>
  </si>
  <si>
    <t>1 Juni 2026</t>
  </si>
  <si>
    <t>Ongkir Kaos SSC</t>
  </si>
  <si>
    <t>Ongkir Kaos SSC + Sticker</t>
  </si>
  <si>
    <t>Ongkir Kaos SSC ( Lebih 3rb karena ada minimal TF )</t>
  </si>
  <si>
    <t>Ongkir Kaos SSC ( Dua kali TF )</t>
  </si>
  <si>
    <t>2 Juni 2026</t>
  </si>
  <si>
    <t>3 Juni 2026</t>
  </si>
  <si>
    <t>4 Juni 2026</t>
  </si>
  <si>
    <t>5 Juni 2026</t>
  </si>
  <si>
    <t>TF Ongkir Ke Om David ( Kemungkinan ada yg blm TF )</t>
  </si>
  <si>
    <t>Note</t>
  </si>
  <si>
    <t>NLA</t>
  </si>
  <si>
    <t>13 Mei 2026</t>
  </si>
  <si>
    <t xml:space="preserve">Pembelian Kaos SSC </t>
  </si>
  <si>
    <t>14 Mei 2026</t>
  </si>
  <si>
    <t>Pembelian Kaos SSC</t>
  </si>
  <si>
    <t>15 Mei 2026</t>
  </si>
  <si>
    <t>16 Mei 2026</t>
  </si>
  <si>
    <t>18 Mei 2026</t>
  </si>
  <si>
    <t>19 Mei 2026</t>
  </si>
  <si>
    <t>21 Mei 2026</t>
  </si>
  <si>
    <t>Prasetyo Mayadi</t>
  </si>
  <si>
    <t>Hendra Herawan Husna</t>
  </si>
  <si>
    <t>23 Mei 2026</t>
  </si>
  <si>
    <t>Pembayaran Kaos SSC ke vendor</t>
  </si>
  <si>
    <t>Pembelian Kaos SSC Batch 1</t>
  </si>
  <si>
    <t>Ongkir Pengiriman Kaos SSC Batch 1</t>
  </si>
  <si>
    <t>Pembelian Kaos SSC Batch 2</t>
  </si>
  <si>
    <t>9 Juni 2026</t>
  </si>
  <si>
    <t>10 Juni 2026</t>
  </si>
  <si>
    <t>11 Juni 2026</t>
  </si>
  <si>
    <t>13 Juni 2026</t>
  </si>
  <si>
    <t>15 Juni 2026</t>
  </si>
  <si>
    <t>Pembelian Sticker SSCKCB Tanpa Kaos</t>
  </si>
  <si>
    <t>17 Juni 2026</t>
  </si>
  <si>
    <t>20 Juni 2026</t>
  </si>
  <si>
    <t>Pembelian Kaos SSC Batch 2 + Sticker SSCKCB</t>
  </si>
  <si>
    <t>21 Juni 2026</t>
  </si>
  <si>
    <t>Pembelian Kaos SSC Batch 2 Lengan Panjang</t>
  </si>
  <si>
    <t>22 Juni 2026</t>
  </si>
  <si>
    <t>23 Juni 2026</t>
  </si>
  <si>
    <t>Pembelian Sticker SSCKCB dan SSCLCU Tanpa Kaos</t>
  </si>
  <si>
    <t>Pembelian Kaos SSC Batch 2 + sticker SSCLCU 3 ( sisanya dimasukkan ke kas ssc )</t>
  </si>
  <si>
    <t xml:space="preserve">Pembelian Kaos SSC Batch 2 </t>
  </si>
  <si>
    <t>27 Juni 2026</t>
  </si>
  <si>
    <t>Pembelian Kaos SSC Batch 2 Lengan Panjang dan Lengan Pendek</t>
  </si>
  <si>
    <t>28 Juni 2026</t>
  </si>
  <si>
    <t>30 Juni 2026</t>
  </si>
  <si>
    <t>3 Juli 2026</t>
  </si>
  <si>
    <t>Nono Septian</t>
  </si>
  <si>
    <t>12 Juli 2026</t>
  </si>
  <si>
    <t>Pembayaran Kaos SSC Batch 2</t>
  </si>
  <si>
    <t>20 Juli 2026</t>
  </si>
  <si>
    <t>Biaya NLA 108 + sticker</t>
  </si>
  <si>
    <t>22 Juli 2026</t>
  </si>
  <si>
    <t>Biaya NLA Rizaldy Juniar Aldil</t>
  </si>
  <si>
    <t>Biaya NLA Agus Sri Divayana</t>
  </si>
  <si>
    <t>26 Juli 2026</t>
  </si>
  <si>
    <t>Biaya Pindah NLA 1737 ke 84</t>
  </si>
  <si>
    <t>27 Juli 2026</t>
  </si>
  <si>
    <t>Pembelian Sticker SSC Batch 3</t>
  </si>
  <si>
    <t>29 Juli 2026</t>
  </si>
  <si>
    <t>Pembayaran Kebersihan Meet Car SSC ke 9 di Kampung Patriot</t>
  </si>
  <si>
    <t>25 Mei 2026</t>
  </si>
  <si>
    <t>Uang kopi untuk yang handle baju di batch 1 ( 30x5)</t>
  </si>
  <si>
    <t>2 Agustus 2026</t>
  </si>
  <si>
    <t>Biaya NLA 77</t>
  </si>
  <si>
    <t>3 Agustus 2026</t>
  </si>
  <si>
    <t>Biaya NLA + Sticker</t>
  </si>
  <si>
    <t>5 Agustus 2026</t>
  </si>
  <si>
    <t>Biaya Pindah NLA Dari 108 ke 85</t>
  </si>
  <si>
    <t>Treat by SSC ke Bayu dan Kiki</t>
  </si>
  <si>
    <t>Treat by SSC ke Om Bopik</t>
  </si>
  <si>
    <t>Treat by SSC ke Om Buce</t>
  </si>
  <si>
    <t>Treat by SSC ke Ci Piko</t>
  </si>
  <si>
    <t>Treat by SSC ke Varian</t>
  </si>
  <si>
    <t>Treat by SSC ke Om Cheetah</t>
  </si>
  <si>
    <t>Treat by SSC ke Om Pepe</t>
  </si>
  <si>
    <t>Treat by SSC ke Om Mugu</t>
  </si>
  <si>
    <t>7 Agustus 2026</t>
  </si>
  <si>
    <t>TF Ongkir Ke Om David</t>
  </si>
  <si>
    <t>Biaya Ongkir Kaos Batch 2 Rizaliano Blitar</t>
  </si>
  <si>
    <t>10 Agustus 2026</t>
  </si>
  <si>
    <t>Bayar Ongkir Kaos Mimik Mujiyanti Mai Erka</t>
  </si>
  <si>
    <t>Ongkir Kaos Batch 2</t>
  </si>
  <si>
    <t>Bayar Ongkir Kaos Mohaman Izwan Hanafi</t>
  </si>
  <si>
    <t>Biaya Ongkir Kaos Batch2 Eva Oktaviana Ulfah</t>
  </si>
  <si>
    <t>Biayar Ongkir Kaos Batch 2 Rustamaji</t>
  </si>
  <si>
    <t>8 Agustus 2026</t>
  </si>
  <si>
    <t>Biaya Ongkir Kaos Batch 2 Catur Agus Setiawan</t>
  </si>
  <si>
    <t>Biaya Ongkir Kaos Batch 2 Happy Khoirunnisa</t>
  </si>
  <si>
    <t>Biaya Ongkir Kaos Batch 2 Richard</t>
  </si>
  <si>
    <t>Biaya Ongkir Kaos Batch 2 Ridho Nur Ismail</t>
  </si>
  <si>
    <t>Biaya Ongkir Kaos Batch 2 Kintan Novandia</t>
  </si>
  <si>
    <t>Biaya Ongkir Kaos Batch 2 Gilang Maulana Ibrohim</t>
  </si>
  <si>
    <t>12 Agustus 2026</t>
  </si>
  <si>
    <t>Biaya Ongkir Kaos Batch 2 Herdiyan Darmawan</t>
  </si>
  <si>
    <t>14 Agustus 2026</t>
  </si>
  <si>
    <t>Biaya Ongkir Kaos Batch 2 Faustine Petunia Abdi</t>
  </si>
  <si>
    <t>TF Biaya Ongkir ( Sticker ) NLA 20 Ke Om David</t>
  </si>
  <si>
    <t>Biaya Ongkir Sticker NLA 20 Rezky Putra</t>
  </si>
  <si>
    <t>Biaya Ongkir Kaos Batch 2 Nurlaila Wattiheluw</t>
  </si>
  <si>
    <t>Bayar Kaos dan sticker SSC ( 11 Juli 2026 ) Mimik Mujiyanti Mami Erka</t>
  </si>
  <si>
    <t>Biaya Ongkir Kaos Batch 2 Yosefina Puspita Sari</t>
  </si>
  <si>
    <t>19 Agustus 2026</t>
  </si>
  <si>
    <t>Biaya TF Ongkir Sticker SSC NLA 77 Dian Sudrajat ke Om David</t>
  </si>
  <si>
    <t>20 Agustus 2026</t>
  </si>
  <si>
    <t>Pembayaran Ongkir Stciker NLA 77 Dian Sudrajat</t>
  </si>
  <si>
    <t>Etc 1</t>
  </si>
  <si>
    <t>Pengembalian Uang  Karlina Septiyani Dikarenakan Miskom Terkait Registrasi Member</t>
  </si>
  <si>
    <t>19 Juni 2026</t>
  </si>
  <si>
    <t>Pengembalian Uang  Sticker Kaca Belakang Member 67</t>
  </si>
  <si>
    <t>Pengembalian Uang Duka Salah Kirim Ke Bu Ketu</t>
  </si>
  <si>
    <t>Pengembalian Uang Kasih Salah Kirim Ke Bu Ketu</t>
  </si>
  <si>
    <t>Etc 2</t>
  </si>
  <si>
    <t>29 Agustus 2026</t>
  </si>
  <si>
    <t>Pembayaran Kaos SSC Batch 3 Dian Sudrajat</t>
  </si>
  <si>
    <t>Pembelian Kaos SSC Batch 3</t>
  </si>
  <si>
    <t>30 Agustus 2026</t>
  </si>
  <si>
    <t>Pembayaran Kaos SSC Batch 3 Agus Sri Divayana</t>
  </si>
  <si>
    <t>Pembayaran Kaos SSC Batch 3 Surianto</t>
  </si>
  <si>
    <t>tF Ongkir Ke Om David ( Kemungkinan ada yg blm TF )</t>
  </si>
  <si>
    <t>Pembayaran Kekurangan Baju SSC Jannatun Naimah</t>
  </si>
  <si>
    <t>Pembelian Kaos SSC Batch 3 Shinta Fitriyani</t>
  </si>
  <si>
    <t>Pembelian Kaos SSC Batch 3 Stefani</t>
  </si>
  <si>
    <t>Pembelian Kaos SSC Batch 3 Dwiky Prayogi</t>
  </si>
  <si>
    <t>Pembelian Kaos SSC Bacth 3 Melanie Surya Mulyana</t>
  </si>
  <si>
    <t>Pembelian Kaos SSC Bacth 3 Dwi Rahayu</t>
  </si>
  <si>
    <t>Pembelian Kaos SSC Batch 3 Nono Septian</t>
  </si>
  <si>
    <t>Pembelian Kaos Yu Kyung Jae</t>
  </si>
  <si>
    <t>Pembelian Kaos SSC Batch 3 David Halim</t>
  </si>
  <si>
    <t>Pengembalian Uang Donasi Kalimantan Om Nose Ke Bu Ketu</t>
  </si>
  <si>
    <t>Pembelian Kaos SSC Batch 3 Chairumy Alfisy / Ferdian Alamsyah ( Ambil Pas Meetcar Bukan Pas Ke Bandung )</t>
  </si>
  <si>
    <t>Pembelian Kaos SSC Batch 3 Ganesha Frida Wijaya</t>
  </si>
  <si>
    <t>Pembelian Kaos SSC Batch 3 Rista Agung Eko</t>
  </si>
  <si>
    <t>Pembelian Kaos SSC Batch 3 Mudji Widodo</t>
  </si>
  <si>
    <t>Pembelian Kaos SSC Batch 3 Eko Setiawan</t>
  </si>
  <si>
    <t>Pembelian Kaos SSC Batch 3 Agung Briantono</t>
  </si>
  <si>
    <t>Sponsor Acara SSC Dari PT Serena Untuk Di Natura Hill</t>
  </si>
  <si>
    <t>Sponsor PT Serena</t>
  </si>
  <si>
    <t>Pembelian Kaos SSC Batch 3 Indra Ilham ( Mr Gagah )</t>
  </si>
  <si>
    <t>Pembelian Kaos SSC Batch 3 Dian Sudrajat</t>
  </si>
  <si>
    <t>Biaya Untuk Camping Di Natura Hill Indra Ilham ( Mr Gagah )</t>
  </si>
  <si>
    <t>Biaya Camping</t>
  </si>
  <si>
    <t>1. Nose (4 orang)</t>
  </si>
  <si>
    <t>2. Mugu (5 orang)</t>
  </si>
  <si>
    <t>3. Samuel ( 3 orang )</t>
  </si>
  <si>
    <t>4. PaniPanpan ( 3 orang )</t>
  </si>
  <si>
    <t>5. Mr.gagah ( 2 orang )</t>
  </si>
  <si>
    <t>6. Midy (2 orang)</t>
  </si>
  <si>
    <t>7. Shiguro (3 orang)</t>
  </si>
  <si>
    <t>8. Cika (3 orang)</t>
  </si>
  <si>
    <t>9. Bu Aan (2 orang)</t>
  </si>
  <si>
    <t>10. ⁠Bli Yogi (3 orang)</t>
  </si>
  <si>
    <t>11. Rista (2 orang)</t>
  </si>
  <si>
    <t>12. pledun 1 atau 2 orang )</t>
  </si>
  <si>
    <t>13. bangg.pepe (4 orang)</t>
  </si>
  <si>
    <t>14. ⁠Lulu Qin ( 1 or 2 orang)</t>
  </si>
  <si>
    <t>15. Santoso (sementara 1 dulu)</t>
  </si>
  <si>
    <t>16. ⁠Minto (4-5 orang)</t>
  </si>
  <si>
    <t xml:space="preserve">18. Mudji (3 orang) </t>
  </si>
  <si>
    <t xml:space="preserve">19. Garfield (3 orang) tbc </t>
  </si>
  <si>
    <t>20. Tuyul oren ( 2 orang)</t>
  </si>
  <si>
    <t>21. Pras bawokz ( 2 orang)</t>
  </si>
  <si>
    <t>22. ⁠Nesha (3 orang)</t>
  </si>
  <si>
    <t>23. Melanie, 2 org.</t>
  </si>
  <si>
    <t>24. Sudrajat (5 Orang).</t>
  </si>
  <si>
    <t>25. Aldy (2 orang)</t>
  </si>
  <si>
    <t>27. ⁠kopishop (2 orang)</t>
  </si>
  <si>
    <t>28. Ibnuadhie (4 orang)</t>
  </si>
  <si>
    <t>29. April (2 org)</t>
  </si>
  <si>
    <t>30. Agung (4 orang)</t>
  </si>
  <si>
    <t>Ceklist</t>
  </si>
  <si>
    <t>Listing kehadiran Natura Hill</t>
  </si>
  <si>
    <t>17. Piko, 1 orang</t>
  </si>
  <si>
    <t>Done</t>
  </si>
  <si>
    <t>Biaya Untuk Penginapan Di  Natura Hill ( Dian Sudrajat )</t>
  </si>
  <si>
    <t>Biaya Untuk Di Natura Hill ( Samuel Arif )</t>
  </si>
  <si>
    <t>Biaya Natura Hill</t>
  </si>
  <si>
    <t>Biaya Untuk Penginapan Di  Natura Hill ( Agung Briantono )</t>
  </si>
  <si>
    <t>Biaya Penginapan</t>
  </si>
  <si>
    <t>Biaya Untuk Natura Hill ( Mochamad Dinan Al Farid ) Dinan/Si Cika</t>
  </si>
  <si>
    <t>Biaya Untuk Natura Hill ( Fani )</t>
  </si>
  <si>
    <t>Biaya Penginapan Natura Hill</t>
  </si>
  <si>
    <t>Biaya Untuk Natura Hill ( Aldy )</t>
  </si>
  <si>
    <t>Biaya Untuk Natura Hill ( Midy )</t>
  </si>
  <si>
    <t>Pembelian Kaos SSC Batch 3  + Sticker Kaca Belakang ( Hari Sugianto )</t>
  </si>
  <si>
    <t>Pembelian Kaos SSC Batch 3 Indra Ilham ( Mr Gagah ) upgrade lengan panjang</t>
  </si>
  <si>
    <t>Biaya Natura Hill ( Wahid Magribi )</t>
  </si>
  <si>
    <t>Pembelian Kaos SSC Batch 3 ( Andrian Ilham )</t>
  </si>
  <si>
    <t>Biaya Natura Hill ( Om Bopik )</t>
  </si>
  <si>
    <t>Biaya Natura Hill ( Ganesha )</t>
  </si>
  <si>
    <t>Biaya Natura Hill ( Santoso )</t>
  </si>
  <si>
    <t>Pembelian Kaos SSC Batch 3 ( Chattra Nuswantoro )</t>
  </si>
  <si>
    <t>Pembelian Kaos SSC Batch 3 +  sticker SSC ( Himni Rusyidi ) ( Bayar Tgl 28 )</t>
  </si>
  <si>
    <t>Pembelian Kaos SSC Batch 3 + sticker SSC ( Aprilita )</t>
  </si>
  <si>
    <t>Pembelian Kaos SSC Batch 3 ( Stefani )</t>
  </si>
  <si>
    <t>Pengembalian Uang Natura Hill Karena Perubahan Kamar ( Dian Sudrajat )</t>
  </si>
  <si>
    <t>Pengembalian uang member</t>
  </si>
  <si>
    <t>Pengembalian Uang Natura Hill Karena Perubahan Kamar ( Stefani )</t>
  </si>
  <si>
    <t>Biaya Natura Hill ( Om Buce )</t>
  </si>
  <si>
    <t>Biaya Natura Hill ( Om Nose )</t>
  </si>
  <si>
    <t>Biaya Natura Hill ( Om Mugu ) total 90, 110K nya uang kas SSC</t>
  </si>
  <si>
    <t>Biaya Natura Hill ( Bintang Prasetya )</t>
  </si>
  <si>
    <t>Biaya Makanan Natura Hill Ibnu Adie / Wahid Magribi</t>
  </si>
  <si>
    <t>Biaya Konsumsi</t>
  </si>
  <si>
    <t>Biaya Natura Hill ( Erftriyani ) tuyul oren</t>
  </si>
  <si>
    <t>Biaya Natura Hill ( Kadje )</t>
  </si>
  <si>
    <t>Biaya Natura Hill ( Angga PP )</t>
  </si>
  <si>
    <t>Biaya Natura Hill ( Widya )</t>
  </si>
  <si>
    <t>Biaya Natura Hill ( Melani )</t>
  </si>
  <si>
    <t>Biaya Natura Hill ( Roofi Qin )</t>
  </si>
  <si>
    <t>Biaya Makanan Natura Hill Fani</t>
  </si>
  <si>
    <t>Biaya Natura Hill ( Mudji Widodo )</t>
  </si>
  <si>
    <t>Biaya Natura Hill ( April )</t>
  </si>
  <si>
    <t>Biaya Makanan Natura Hill Om Buce</t>
  </si>
  <si>
    <t>Biaya Natura Hill Kopishop</t>
  </si>
  <si>
    <t>Biaya Makanan Natura Hill Om Dinan ( Mochamad Dinan Al farid )</t>
  </si>
  <si>
    <t>Biaya Makanan Natura Hill ( Karlina Septiyani / Aldy )</t>
  </si>
  <si>
    <t>Pembayaran Produksi Kaos SSC Batch 3 ke Om Bopik</t>
  </si>
  <si>
    <t>Produksi Kaos SSC Batch 3</t>
  </si>
  <si>
    <t>Biaya Natura Hill ( Om Sate / Rista )</t>
  </si>
  <si>
    <t>Biaya Natura Hill ( Riri )</t>
  </si>
  <si>
    <t>Biaya Natura Hill ( Linda / Minto )</t>
  </si>
  <si>
    <t>Pembayaran Uang Voucher Indomaret Ke Om Irfan Rachmat Fauzi</t>
  </si>
  <si>
    <t>Biaya Voucher Indomaret</t>
  </si>
  <si>
    <t>Sponsor Acara SSC Dari Aurora Energi Indonesia</t>
  </si>
  <si>
    <t>Sponsor Aurora Energi Indonesia</t>
  </si>
  <si>
    <t>Bayar DP 30% Natura Hill</t>
  </si>
  <si>
    <t>Bayar DP Natura Hill</t>
  </si>
  <si>
    <t>31. Widya</t>
  </si>
  <si>
    <t>Tentative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</si>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</sst>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5" borderId="1" xfId="0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4" borderId="1" xfId="0" applyFill="1" applyBorder="1"/>
    <xf numFmtId="0" fontId="0" fillId="6" borderId="1" xfId="0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0" fontId="5" fillId="5" borderId="1" xfId="0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/>
    <xf numFmtId="0" fontId="0" fillId="7" borderId="1" xfId="0" applyFill="1" applyBorder="1" applyAlignment="1">
      <alignment horizontal="center"/>
    </xf>
    <xf numFmtId="3" fontId="0" fillId="7" borderId="1" xfId="0" applyNumberFormat="1" applyFill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 applyAlignment="1">
      <alignment horizontal="center"/>
    </xf>
    <xf numFmtId="3" fontId="0" fillId="8" borderId="1" xfId="0" applyNumberFormat="1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 applyAlignment="1">
      <alignment horizontal="center"/>
    </xf>
    <xf numFmtId="3" fontId="0" fillId="9" borderId="1" xfId="0" applyNumberForma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3" fontId="4" fillId="10" borderId="1" xfId="0" applyNumberFormat="1" applyFont="1" applyFill="1" applyBorder="1" applyAlignment="1">
      <alignment horizontal="center"/>
    </xf>
    <xf numFmtId="0" fontId="0" fillId="9" borderId="1" xfId="0" applyFill="1" applyBorder="1"/>
    <xf numFmtId="15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3" fontId="0" fillId="11" borderId="1" xfId="0" applyNumberFormat="1" applyFill="1" applyBorder="1" applyAlignment="1">
      <alignment horizontal="center"/>
    </xf>
    <xf numFmtId="0" fontId="0" fillId="11" borderId="1" xfId="0" applyFill="1" applyBorder="1"/>
    <xf numFmtId="15" fontId="0" fillId="9" borderId="1" xfId="0" applyNumberFormat="1" applyFill="1" applyBorder="1" applyAlignment="1">
      <alignment horizontal="center"/>
    </xf>
    <xf numFmtId="0" fontId="0" fillId="9" borderId="2" xfId="0" applyFill="1" applyBorder="1" applyAlignment="1">
      <alignment vertical="center"/>
    </xf>
    <xf numFmtId="0" fontId="0" fillId="9" borderId="3" xfId="0" applyFill="1" applyBorder="1" applyAlignment="1">
      <alignment vertical="center"/>
    </xf>
    <xf numFmtId="15" fontId="0" fillId="12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3" fontId="0" fillId="12" borderId="1" xfId="0" applyNumberFormat="1" applyFill="1" applyBorder="1" applyAlignment="1">
      <alignment horizontal="center"/>
    </xf>
    <xf numFmtId="0" fontId="0" fillId="12" borderId="1" xfId="0" applyFill="1" applyBorder="1"/>
    <xf numFmtId="15" fontId="0" fillId="13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3" fontId="0" fillId="13" borderId="1" xfId="0" applyNumberFormat="1" applyFill="1" applyBorder="1" applyAlignment="1">
      <alignment horizontal="center"/>
    </xf>
    <xf numFmtId="0" fontId="0" fillId="13" borderId="1" xfId="0" applyFill="1" applyBorder="1"/>
    <xf numFmtId="0" fontId="4" fillId="11" borderId="1" xfId="0" applyFont="1" applyFill="1" applyBorder="1" applyAlignment="1">
      <alignment horizontal="center"/>
    </xf>
    <xf numFmtId="15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3" fontId="0" fillId="14" borderId="1" xfId="0" applyNumberFormat="1" applyFill="1" applyBorder="1" applyAlignment="1">
      <alignment horizontal="center"/>
    </xf>
    <xf numFmtId="0" fontId="0" fillId="14" borderId="1" xfId="0" applyFill="1" applyBorder="1"/>
    <xf numFmtId="15" fontId="0" fillId="15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3" fontId="0" fillId="15" borderId="1" xfId="0" applyNumberFormat="1" applyFill="1" applyBorder="1" applyAlignment="1">
      <alignment horizontal="center"/>
    </xf>
    <xf numFmtId="0" fontId="0" fillId="15" borderId="1" xfId="0" applyFill="1" applyBorder="1"/>
    <xf numFmtId="15" fontId="0" fillId="3" borderId="1" xfId="0" applyNumberFormat="1" applyFill="1" applyBorder="1" applyAlignment="1">
      <alignment horizontal="center"/>
    </xf>
    <xf numFmtId="0" fontId="0" fillId="0" borderId="1" xfId="0" applyFill="1" applyBorder="1"/>
    <xf numFmtId="15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3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15" fontId="5" fillId="9" borderId="1" xfId="0" applyNumberFormat="1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3" fontId="5" fillId="9" borderId="1" xfId="0" applyNumberFormat="1" applyFont="1" applyFill="1" applyBorder="1" applyAlignment="1">
      <alignment horizontal="center"/>
    </xf>
    <xf numFmtId="0" fontId="5" fillId="9" borderId="1" xfId="0" applyFont="1" applyFill="1" applyBorder="1"/>
    <xf numFmtId="15" fontId="5" fillId="14" borderId="1" xfId="0" applyNumberFormat="1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3" fontId="5" fillId="14" borderId="1" xfId="0" applyNumberFormat="1" applyFont="1" applyFill="1" applyBorder="1" applyAlignment="1">
      <alignment horizontal="center"/>
    </xf>
    <xf numFmtId="0" fontId="5" fillId="14" borderId="1" xfId="0" applyFont="1" applyFill="1" applyBorder="1"/>
    <xf numFmtId="3" fontId="5" fillId="15" borderId="1" xfId="0" applyNumberFormat="1" applyFont="1" applyFill="1" applyBorder="1" applyAlignment="1">
      <alignment horizontal="center"/>
    </xf>
    <xf numFmtId="3" fontId="5" fillId="12" borderId="1" xfId="0" applyNumberFormat="1" applyFont="1" applyFill="1" applyBorder="1" applyAlignment="1">
      <alignment horizontal="center"/>
    </xf>
    <xf numFmtId="3" fontId="5" fillId="11" borderId="1" xfId="0" applyNumberFormat="1" applyFont="1" applyFill="1" applyBorder="1" applyAlignment="1">
      <alignment horizontal="center"/>
    </xf>
    <xf numFmtId="0" fontId="0" fillId="10" borderId="1" xfId="0" applyFill="1" applyBorder="1"/>
    <xf numFmtId="0" fontId="0" fillId="9" borderId="2" xfId="0" applyFill="1" applyBorder="1" applyAlignment="1">
      <alignment horizontal="left" vertical="top"/>
    </xf>
    <xf numFmtId="0" fontId="0" fillId="9" borderId="4" xfId="0" applyFill="1" applyBorder="1" applyAlignment="1">
      <alignment horizontal="left" vertical="top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8"/>
  <sheetViews>
    <sheetView tabSelected="1" topLeftCell="A235" workbookViewId="0">
      <selection activeCell="A249" sqref="A249"/>
    </sheetView>
  </sheetViews>
  <sheetFormatPr defaultRowHeight="15" x14ac:dyDescent="0.25"/>
  <cols>
    <col min="1" max="1" width="15" style="5" customWidth="1"/>
    <col min="2" max="2" width="99.42578125" style="5" bestFit="1" customWidth="1"/>
    <col min="3" max="5" width="18" style="5" customWidth="1"/>
    <col min="6" max="6" width="22" style="2" bestFit="1" customWidth="1"/>
    <col min="7" max="7" width="33" style="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46</v>
      </c>
      <c r="G1" s="1" t="s">
        <v>45</v>
      </c>
    </row>
    <row r="2" spans="1:7" x14ac:dyDescent="0.25">
      <c r="A2" s="15" t="s">
        <v>47</v>
      </c>
      <c r="B2" s="15" t="s">
        <v>48</v>
      </c>
      <c r="C2" s="16">
        <v>150000</v>
      </c>
      <c r="D2" s="15">
        <v>0</v>
      </c>
      <c r="E2" s="15">
        <f>C2-D2</f>
        <v>150000</v>
      </c>
      <c r="F2" s="15">
        <v>17</v>
      </c>
      <c r="G2" s="84" t="s">
        <v>60</v>
      </c>
    </row>
    <row r="3" spans="1:7" x14ac:dyDescent="0.25">
      <c r="A3" s="15" t="s">
        <v>47</v>
      </c>
      <c r="B3" s="15" t="s">
        <v>48</v>
      </c>
      <c r="C3" s="16">
        <v>150000</v>
      </c>
      <c r="D3" s="15">
        <v>0</v>
      </c>
      <c r="E3" s="15">
        <f t="shared" ref="E3:E34" si="0">E2+C3-D3</f>
        <v>300000</v>
      </c>
      <c r="F3" s="15">
        <v>24</v>
      </c>
      <c r="G3" s="85"/>
    </row>
    <row r="4" spans="1:7" x14ac:dyDescent="0.25">
      <c r="A4" s="15" t="s">
        <v>47</v>
      </c>
      <c r="B4" s="15" t="s">
        <v>48</v>
      </c>
      <c r="C4" s="16">
        <v>150000</v>
      </c>
      <c r="D4" s="16">
        <v>0</v>
      </c>
      <c r="E4" s="15">
        <f t="shared" si="0"/>
        <v>450000</v>
      </c>
      <c r="F4" s="15">
        <v>13</v>
      </c>
      <c r="G4" s="85"/>
    </row>
    <row r="5" spans="1:7" x14ac:dyDescent="0.25">
      <c r="A5" s="15" t="s">
        <v>49</v>
      </c>
      <c r="B5" s="15" t="s">
        <v>48</v>
      </c>
      <c r="C5" s="16">
        <v>150000</v>
      </c>
      <c r="D5" s="16">
        <v>0</v>
      </c>
      <c r="E5" s="15">
        <f t="shared" si="0"/>
        <v>600000</v>
      </c>
      <c r="F5" s="15">
        <v>12</v>
      </c>
      <c r="G5" s="85"/>
    </row>
    <row r="6" spans="1:7" x14ac:dyDescent="0.25">
      <c r="A6" s="15" t="s">
        <v>49</v>
      </c>
      <c r="B6" s="15" t="s">
        <v>48</v>
      </c>
      <c r="C6" s="16">
        <v>130000</v>
      </c>
      <c r="D6" s="15">
        <v>0</v>
      </c>
      <c r="E6" s="15">
        <f t="shared" si="0"/>
        <v>730000</v>
      </c>
      <c r="F6" s="15">
        <v>7</v>
      </c>
      <c r="G6" s="85"/>
    </row>
    <row r="7" spans="1:7" x14ac:dyDescent="0.25">
      <c r="A7" s="15" t="s">
        <v>49</v>
      </c>
      <c r="B7" s="15" t="s">
        <v>48</v>
      </c>
      <c r="C7" s="16">
        <v>130000</v>
      </c>
      <c r="D7" s="16">
        <v>0</v>
      </c>
      <c r="E7" s="15">
        <f t="shared" si="0"/>
        <v>860000</v>
      </c>
      <c r="F7" s="15">
        <v>80</v>
      </c>
      <c r="G7" s="85"/>
    </row>
    <row r="8" spans="1:7" x14ac:dyDescent="0.25">
      <c r="A8" s="15" t="s">
        <v>49</v>
      </c>
      <c r="B8" s="15" t="s">
        <v>50</v>
      </c>
      <c r="C8" s="16">
        <v>150000</v>
      </c>
      <c r="D8" s="15">
        <v>0</v>
      </c>
      <c r="E8" s="15">
        <f t="shared" si="0"/>
        <v>1010000</v>
      </c>
      <c r="F8" s="15">
        <v>36</v>
      </c>
      <c r="G8" s="85"/>
    </row>
    <row r="9" spans="1:7" x14ac:dyDescent="0.25">
      <c r="A9" s="15" t="s">
        <v>49</v>
      </c>
      <c r="B9" s="15" t="s">
        <v>50</v>
      </c>
      <c r="C9" s="16">
        <v>130000</v>
      </c>
      <c r="D9" s="15">
        <v>0</v>
      </c>
      <c r="E9" s="15">
        <f t="shared" si="0"/>
        <v>1140000</v>
      </c>
      <c r="F9" s="15">
        <v>8</v>
      </c>
      <c r="G9" s="85"/>
    </row>
    <row r="10" spans="1:7" x14ac:dyDescent="0.25">
      <c r="A10" s="15" t="s">
        <v>49</v>
      </c>
      <c r="B10" s="15" t="s">
        <v>50</v>
      </c>
      <c r="C10" s="16">
        <v>150030</v>
      </c>
      <c r="D10" s="15">
        <v>0</v>
      </c>
      <c r="E10" s="15">
        <f t="shared" si="0"/>
        <v>1290030</v>
      </c>
      <c r="F10" s="15">
        <v>30</v>
      </c>
      <c r="G10" s="85"/>
    </row>
    <row r="11" spans="1:7" x14ac:dyDescent="0.25">
      <c r="A11" s="15" t="s">
        <v>49</v>
      </c>
      <c r="B11" s="15" t="s">
        <v>50</v>
      </c>
      <c r="C11" s="16">
        <v>130000</v>
      </c>
      <c r="D11" s="15">
        <v>0</v>
      </c>
      <c r="E11" s="15">
        <f t="shared" si="0"/>
        <v>1420030</v>
      </c>
      <c r="F11" s="15">
        <v>87</v>
      </c>
      <c r="G11" s="85"/>
    </row>
    <row r="12" spans="1:7" x14ac:dyDescent="0.25">
      <c r="A12" s="15" t="s">
        <v>49</v>
      </c>
      <c r="B12" s="15" t="s">
        <v>50</v>
      </c>
      <c r="C12" s="16">
        <v>130000</v>
      </c>
      <c r="D12" s="15">
        <v>0</v>
      </c>
      <c r="E12" s="15">
        <f t="shared" si="0"/>
        <v>1550030</v>
      </c>
      <c r="F12" s="15">
        <v>78</v>
      </c>
      <c r="G12" s="85"/>
    </row>
    <row r="13" spans="1:7" x14ac:dyDescent="0.25">
      <c r="A13" s="15" t="s">
        <v>49</v>
      </c>
      <c r="B13" s="15" t="s">
        <v>50</v>
      </c>
      <c r="C13" s="16">
        <v>150000</v>
      </c>
      <c r="D13" s="15">
        <v>0</v>
      </c>
      <c r="E13" s="15">
        <f t="shared" si="0"/>
        <v>1700030</v>
      </c>
      <c r="F13" s="15">
        <v>93</v>
      </c>
      <c r="G13" s="85"/>
    </row>
    <row r="14" spans="1:7" x14ac:dyDescent="0.25">
      <c r="A14" s="15" t="s">
        <v>49</v>
      </c>
      <c r="B14" s="15" t="s">
        <v>50</v>
      </c>
      <c r="C14" s="16">
        <v>130000</v>
      </c>
      <c r="D14" s="15">
        <v>0</v>
      </c>
      <c r="E14" s="15">
        <f t="shared" si="0"/>
        <v>1830030</v>
      </c>
      <c r="F14" s="15">
        <v>41</v>
      </c>
      <c r="G14" s="85"/>
    </row>
    <row r="15" spans="1:7" x14ac:dyDescent="0.25">
      <c r="A15" s="15" t="s">
        <v>49</v>
      </c>
      <c r="B15" s="15" t="s">
        <v>50</v>
      </c>
      <c r="C15" s="16">
        <v>130000</v>
      </c>
      <c r="D15" s="15">
        <v>0</v>
      </c>
      <c r="E15" s="15">
        <f t="shared" si="0"/>
        <v>1960030</v>
      </c>
      <c r="F15" s="15">
        <v>38</v>
      </c>
      <c r="G15" s="85"/>
    </row>
    <row r="16" spans="1:7" x14ac:dyDescent="0.25">
      <c r="A16" s="15" t="s">
        <v>49</v>
      </c>
      <c r="B16" s="15" t="s">
        <v>50</v>
      </c>
      <c r="C16" s="16">
        <v>130000</v>
      </c>
      <c r="D16" s="15">
        <v>0</v>
      </c>
      <c r="E16" s="15">
        <f t="shared" si="0"/>
        <v>2090030</v>
      </c>
      <c r="F16" s="15">
        <v>54</v>
      </c>
      <c r="G16" s="85"/>
    </row>
    <row r="17" spans="1:7" x14ac:dyDescent="0.25">
      <c r="A17" s="15" t="s">
        <v>49</v>
      </c>
      <c r="B17" s="15" t="s">
        <v>50</v>
      </c>
      <c r="C17" s="16">
        <v>130000</v>
      </c>
      <c r="D17" s="15">
        <v>0</v>
      </c>
      <c r="E17" s="15">
        <f t="shared" si="0"/>
        <v>2220030</v>
      </c>
      <c r="F17" s="15">
        <v>1</v>
      </c>
      <c r="G17" s="85"/>
    </row>
    <row r="18" spans="1:7" x14ac:dyDescent="0.25">
      <c r="A18" s="15" t="s">
        <v>49</v>
      </c>
      <c r="B18" s="15" t="s">
        <v>50</v>
      </c>
      <c r="C18" s="16">
        <v>130000</v>
      </c>
      <c r="D18" s="15">
        <v>0</v>
      </c>
      <c r="E18" s="15">
        <f t="shared" si="0"/>
        <v>2350030</v>
      </c>
      <c r="F18" s="15">
        <v>99</v>
      </c>
      <c r="G18" s="85"/>
    </row>
    <row r="19" spans="1:7" x14ac:dyDescent="0.25">
      <c r="A19" s="15" t="s">
        <v>51</v>
      </c>
      <c r="B19" s="15" t="s">
        <v>50</v>
      </c>
      <c r="C19" s="16">
        <v>130033</v>
      </c>
      <c r="D19" s="15">
        <v>0</v>
      </c>
      <c r="E19" s="15">
        <f t="shared" si="0"/>
        <v>2480063</v>
      </c>
      <c r="F19" s="15">
        <v>33</v>
      </c>
      <c r="G19" s="85"/>
    </row>
    <row r="20" spans="1:7" x14ac:dyDescent="0.25">
      <c r="A20" s="15" t="s">
        <v>51</v>
      </c>
      <c r="B20" s="15" t="s">
        <v>50</v>
      </c>
      <c r="C20" s="16">
        <v>130000</v>
      </c>
      <c r="D20" s="15">
        <v>0</v>
      </c>
      <c r="E20" s="15">
        <f t="shared" si="0"/>
        <v>2610063</v>
      </c>
      <c r="F20" s="15">
        <v>71</v>
      </c>
      <c r="G20" s="85"/>
    </row>
    <row r="21" spans="1:7" x14ac:dyDescent="0.25">
      <c r="A21" s="15" t="s">
        <v>51</v>
      </c>
      <c r="B21" s="15" t="s">
        <v>50</v>
      </c>
      <c r="C21" s="16">
        <v>130000</v>
      </c>
      <c r="D21" s="15">
        <v>0</v>
      </c>
      <c r="E21" s="15">
        <f t="shared" si="0"/>
        <v>2740063</v>
      </c>
      <c r="F21" s="15">
        <v>47</v>
      </c>
      <c r="G21" s="85"/>
    </row>
    <row r="22" spans="1:7" x14ac:dyDescent="0.25">
      <c r="A22" s="15" t="s">
        <v>51</v>
      </c>
      <c r="B22" s="15" t="s">
        <v>50</v>
      </c>
      <c r="C22" s="16">
        <v>130000</v>
      </c>
      <c r="D22" s="15">
        <v>0</v>
      </c>
      <c r="E22" s="15">
        <f t="shared" si="0"/>
        <v>2870063</v>
      </c>
      <c r="F22" s="15">
        <v>18</v>
      </c>
      <c r="G22" s="85"/>
    </row>
    <row r="23" spans="1:7" x14ac:dyDescent="0.25">
      <c r="A23" s="15" t="s">
        <v>51</v>
      </c>
      <c r="B23" s="15" t="s">
        <v>50</v>
      </c>
      <c r="C23" s="16">
        <v>300000</v>
      </c>
      <c r="D23" s="15">
        <v>0</v>
      </c>
      <c r="E23" s="15">
        <f t="shared" si="0"/>
        <v>3170063</v>
      </c>
      <c r="F23" s="15">
        <v>60</v>
      </c>
      <c r="G23" s="85"/>
    </row>
    <row r="24" spans="1:7" x14ac:dyDescent="0.25">
      <c r="A24" s="15" t="s">
        <v>51</v>
      </c>
      <c r="B24" s="15" t="s">
        <v>50</v>
      </c>
      <c r="C24" s="16">
        <v>130000</v>
      </c>
      <c r="D24" s="15">
        <v>0</v>
      </c>
      <c r="E24" s="15">
        <f t="shared" si="0"/>
        <v>3300063</v>
      </c>
      <c r="F24" s="15">
        <v>27</v>
      </c>
      <c r="G24" s="85"/>
    </row>
    <row r="25" spans="1:7" x14ac:dyDescent="0.25">
      <c r="A25" s="15" t="s">
        <v>51</v>
      </c>
      <c r="B25" s="15" t="s">
        <v>50</v>
      </c>
      <c r="C25" s="16">
        <v>150000</v>
      </c>
      <c r="D25" s="15">
        <v>0</v>
      </c>
      <c r="E25" s="15">
        <f t="shared" si="0"/>
        <v>3450063</v>
      </c>
      <c r="F25" s="15">
        <v>53</v>
      </c>
      <c r="G25" s="85"/>
    </row>
    <row r="26" spans="1:7" x14ac:dyDescent="0.25">
      <c r="A26" s="15" t="s">
        <v>51</v>
      </c>
      <c r="B26" s="15" t="s">
        <v>50</v>
      </c>
      <c r="C26" s="16">
        <v>130000</v>
      </c>
      <c r="D26" s="15">
        <v>0</v>
      </c>
      <c r="E26" s="15">
        <f t="shared" si="0"/>
        <v>3580063</v>
      </c>
      <c r="F26" s="15">
        <v>79</v>
      </c>
      <c r="G26" s="85"/>
    </row>
    <row r="27" spans="1:7" x14ac:dyDescent="0.25">
      <c r="A27" s="15" t="s">
        <v>51</v>
      </c>
      <c r="B27" s="15" t="s">
        <v>50</v>
      </c>
      <c r="C27" s="16">
        <v>130000</v>
      </c>
      <c r="D27" s="15">
        <v>0</v>
      </c>
      <c r="E27" s="15">
        <f t="shared" si="0"/>
        <v>3710063</v>
      </c>
      <c r="F27" s="15">
        <v>15</v>
      </c>
      <c r="G27" s="85"/>
    </row>
    <row r="28" spans="1:7" x14ac:dyDescent="0.25">
      <c r="A28" s="15" t="s">
        <v>51</v>
      </c>
      <c r="B28" s="15" t="s">
        <v>50</v>
      </c>
      <c r="C28" s="16">
        <v>150000</v>
      </c>
      <c r="D28" s="15">
        <v>0</v>
      </c>
      <c r="E28" s="15">
        <f t="shared" si="0"/>
        <v>3860063</v>
      </c>
      <c r="F28" s="15">
        <v>16</v>
      </c>
      <c r="G28" s="85"/>
    </row>
    <row r="29" spans="1:7" x14ac:dyDescent="0.25">
      <c r="A29" s="15" t="s">
        <v>51</v>
      </c>
      <c r="B29" s="15" t="s">
        <v>50</v>
      </c>
      <c r="C29" s="16">
        <v>450000</v>
      </c>
      <c r="D29" s="15">
        <v>0</v>
      </c>
      <c r="E29" s="15">
        <f t="shared" si="0"/>
        <v>4310063</v>
      </c>
      <c r="F29" s="15">
        <v>76</v>
      </c>
      <c r="G29" s="85"/>
    </row>
    <row r="30" spans="1:7" x14ac:dyDescent="0.25">
      <c r="A30" s="15" t="s">
        <v>52</v>
      </c>
      <c r="B30" s="15" t="s">
        <v>50</v>
      </c>
      <c r="C30" s="16">
        <v>150000</v>
      </c>
      <c r="D30" s="15">
        <v>0</v>
      </c>
      <c r="E30" s="15">
        <f t="shared" si="0"/>
        <v>4460063</v>
      </c>
      <c r="F30" s="15">
        <v>100</v>
      </c>
      <c r="G30" s="85"/>
    </row>
    <row r="31" spans="1:7" x14ac:dyDescent="0.25">
      <c r="A31" s="15" t="s">
        <v>52</v>
      </c>
      <c r="B31" s="15" t="s">
        <v>50</v>
      </c>
      <c r="C31" s="16">
        <v>300000</v>
      </c>
      <c r="D31" s="15">
        <v>0</v>
      </c>
      <c r="E31" s="15">
        <f t="shared" si="0"/>
        <v>4760063</v>
      </c>
      <c r="F31" s="15">
        <v>98</v>
      </c>
      <c r="G31" s="85"/>
    </row>
    <row r="32" spans="1:7" x14ac:dyDescent="0.25">
      <c r="A32" s="15" t="s">
        <v>52</v>
      </c>
      <c r="B32" s="15" t="s">
        <v>50</v>
      </c>
      <c r="C32" s="16">
        <v>130009</v>
      </c>
      <c r="D32" s="15">
        <v>0</v>
      </c>
      <c r="E32" s="15">
        <f t="shared" si="0"/>
        <v>4890072</v>
      </c>
      <c r="F32" s="15">
        <v>9</v>
      </c>
      <c r="G32" s="85"/>
    </row>
    <row r="33" spans="1:7" x14ac:dyDescent="0.25">
      <c r="A33" s="15" t="s">
        <v>52</v>
      </c>
      <c r="B33" s="15" t="s">
        <v>50</v>
      </c>
      <c r="C33" s="16">
        <v>260000</v>
      </c>
      <c r="D33" s="15">
        <v>0</v>
      </c>
      <c r="E33" s="15">
        <f t="shared" si="0"/>
        <v>5150072</v>
      </c>
      <c r="F33" s="15">
        <v>90</v>
      </c>
      <c r="G33" s="85"/>
    </row>
    <row r="34" spans="1:7" x14ac:dyDescent="0.25">
      <c r="A34" s="15" t="s">
        <v>52</v>
      </c>
      <c r="B34" s="15" t="s">
        <v>50</v>
      </c>
      <c r="C34" s="16">
        <v>135000</v>
      </c>
      <c r="D34" s="15">
        <v>0</v>
      </c>
      <c r="E34" s="15">
        <f t="shared" si="0"/>
        <v>5285072</v>
      </c>
      <c r="F34" s="15" t="s">
        <v>56</v>
      </c>
      <c r="G34" s="85"/>
    </row>
    <row r="35" spans="1:7" x14ac:dyDescent="0.25">
      <c r="A35" s="15" t="s">
        <v>52</v>
      </c>
      <c r="B35" s="15" t="s">
        <v>50</v>
      </c>
      <c r="C35" s="16">
        <v>130000</v>
      </c>
      <c r="D35" s="15">
        <v>0</v>
      </c>
      <c r="E35" s="15">
        <f t="shared" ref="E35:E66" si="1">E34+C35-D35</f>
        <v>5415072</v>
      </c>
      <c r="F35" s="15">
        <v>72</v>
      </c>
      <c r="G35" s="85"/>
    </row>
    <row r="36" spans="1:7" x14ac:dyDescent="0.25">
      <c r="A36" s="15" t="s">
        <v>53</v>
      </c>
      <c r="B36" s="15" t="s">
        <v>50</v>
      </c>
      <c r="C36" s="16">
        <v>130000</v>
      </c>
      <c r="D36" s="15">
        <v>0</v>
      </c>
      <c r="E36" s="15">
        <f t="shared" si="1"/>
        <v>5545072</v>
      </c>
      <c r="F36" s="15">
        <v>91</v>
      </c>
      <c r="G36" s="85"/>
    </row>
    <row r="37" spans="1:7" x14ac:dyDescent="0.25">
      <c r="A37" s="15" t="s">
        <v>53</v>
      </c>
      <c r="B37" s="15" t="s">
        <v>50</v>
      </c>
      <c r="C37" s="16">
        <v>130000</v>
      </c>
      <c r="D37" s="15">
        <v>0</v>
      </c>
      <c r="E37" s="15">
        <f t="shared" si="1"/>
        <v>5675072</v>
      </c>
      <c r="F37" s="15">
        <v>88</v>
      </c>
      <c r="G37" s="85"/>
    </row>
    <row r="38" spans="1:7" x14ac:dyDescent="0.25">
      <c r="A38" s="15" t="s">
        <v>53</v>
      </c>
      <c r="B38" s="15" t="s">
        <v>50</v>
      </c>
      <c r="C38" s="16">
        <v>130000</v>
      </c>
      <c r="D38" s="15">
        <v>0</v>
      </c>
      <c r="E38" s="15">
        <f t="shared" si="1"/>
        <v>5805072</v>
      </c>
      <c r="F38" s="15">
        <v>104</v>
      </c>
      <c r="G38" s="85"/>
    </row>
    <row r="39" spans="1:7" x14ac:dyDescent="0.25">
      <c r="A39" s="15" t="s">
        <v>53</v>
      </c>
      <c r="B39" s="15" t="s">
        <v>50</v>
      </c>
      <c r="C39" s="16">
        <v>130000</v>
      </c>
      <c r="D39" s="15">
        <v>0</v>
      </c>
      <c r="E39" s="15">
        <f t="shared" si="1"/>
        <v>5935072</v>
      </c>
      <c r="F39" s="15">
        <v>37</v>
      </c>
      <c r="G39" s="85"/>
    </row>
    <row r="40" spans="1:7" x14ac:dyDescent="0.25">
      <c r="A40" s="15" t="s">
        <v>54</v>
      </c>
      <c r="B40" s="15" t="s">
        <v>50</v>
      </c>
      <c r="C40" s="16">
        <v>130000</v>
      </c>
      <c r="D40" s="15">
        <v>0</v>
      </c>
      <c r="E40" s="15">
        <f t="shared" si="1"/>
        <v>6065072</v>
      </c>
      <c r="F40" s="15" t="s">
        <v>57</v>
      </c>
      <c r="G40" s="85"/>
    </row>
    <row r="41" spans="1:7" x14ac:dyDescent="0.25">
      <c r="A41" s="15" t="s">
        <v>9</v>
      </c>
      <c r="B41" s="15" t="s">
        <v>50</v>
      </c>
      <c r="C41" s="16">
        <v>150000</v>
      </c>
      <c r="D41" s="15">
        <v>0</v>
      </c>
      <c r="E41" s="15">
        <f t="shared" si="1"/>
        <v>6215072</v>
      </c>
      <c r="F41" s="15">
        <v>103</v>
      </c>
      <c r="G41" s="85"/>
    </row>
    <row r="42" spans="1:7" x14ac:dyDescent="0.25">
      <c r="A42" s="15" t="s">
        <v>9</v>
      </c>
      <c r="B42" s="15" t="s">
        <v>50</v>
      </c>
      <c r="C42" s="16">
        <v>130000</v>
      </c>
      <c r="D42" s="15">
        <v>0</v>
      </c>
      <c r="E42" s="15">
        <f t="shared" si="1"/>
        <v>6345072</v>
      </c>
      <c r="F42" s="15">
        <v>99</v>
      </c>
      <c r="G42" s="85"/>
    </row>
    <row r="43" spans="1:7" x14ac:dyDescent="0.25">
      <c r="A43" s="15" t="s">
        <v>9</v>
      </c>
      <c r="B43" s="15" t="s">
        <v>50</v>
      </c>
      <c r="C43" s="16">
        <v>150000</v>
      </c>
      <c r="D43" s="15">
        <v>0</v>
      </c>
      <c r="E43" s="15">
        <f t="shared" si="1"/>
        <v>6495072</v>
      </c>
      <c r="F43" s="15">
        <v>68</v>
      </c>
      <c r="G43" s="85"/>
    </row>
    <row r="44" spans="1:7" x14ac:dyDescent="0.25">
      <c r="A44" s="15" t="s">
        <v>9</v>
      </c>
      <c r="B44" s="15" t="s">
        <v>50</v>
      </c>
      <c r="C44" s="16">
        <v>170000</v>
      </c>
      <c r="D44" s="15">
        <v>0</v>
      </c>
      <c r="E44" s="15">
        <f t="shared" si="1"/>
        <v>6665072</v>
      </c>
      <c r="F44" s="15">
        <v>68</v>
      </c>
      <c r="G44" s="85"/>
    </row>
    <row r="45" spans="1:7" x14ac:dyDescent="0.25">
      <c r="A45" s="15" t="s">
        <v>55</v>
      </c>
      <c r="B45" s="15" t="s">
        <v>157</v>
      </c>
      <c r="C45" s="16">
        <v>20000</v>
      </c>
      <c r="D45" s="15">
        <v>0</v>
      </c>
      <c r="E45" s="15">
        <f t="shared" si="1"/>
        <v>6685072</v>
      </c>
      <c r="F45" s="15">
        <v>88</v>
      </c>
      <c r="G45" s="85"/>
    </row>
    <row r="46" spans="1:7" x14ac:dyDescent="0.25">
      <c r="A46" s="15" t="s">
        <v>55</v>
      </c>
      <c r="B46" s="15" t="s">
        <v>156</v>
      </c>
      <c r="C46" s="16">
        <v>0</v>
      </c>
      <c r="D46" s="16">
        <v>20000</v>
      </c>
      <c r="E46" s="15">
        <f t="shared" si="1"/>
        <v>6665072</v>
      </c>
      <c r="F46" s="15">
        <v>90</v>
      </c>
      <c r="G46" s="85"/>
    </row>
    <row r="47" spans="1:7" x14ac:dyDescent="0.25">
      <c r="A47" s="15" t="s">
        <v>58</v>
      </c>
      <c r="B47" s="15" t="s">
        <v>59</v>
      </c>
      <c r="C47" s="15">
        <v>0</v>
      </c>
      <c r="D47" s="16">
        <v>5640000</v>
      </c>
      <c r="E47" s="15">
        <f t="shared" si="1"/>
        <v>1025072</v>
      </c>
      <c r="F47" s="17"/>
      <c r="G47" s="86"/>
    </row>
    <row r="48" spans="1:7" x14ac:dyDescent="0.25">
      <c r="A48" s="8" t="s">
        <v>35</v>
      </c>
      <c r="B48" s="8" t="s">
        <v>36</v>
      </c>
      <c r="C48" s="9">
        <v>7741</v>
      </c>
      <c r="D48" s="8">
        <v>0</v>
      </c>
      <c r="E48" s="8">
        <f t="shared" si="1"/>
        <v>1032813</v>
      </c>
      <c r="F48" s="14"/>
      <c r="G48" s="87" t="s">
        <v>61</v>
      </c>
    </row>
    <row r="49" spans="1:7" x14ac:dyDescent="0.25">
      <c r="A49" s="8" t="s">
        <v>35</v>
      </c>
      <c r="B49" s="8" t="s">
        <v>36</v>
      </c>
      <c r="C49" s="9">
        <v>7727</v>
      </c>
      <c r="D49" s="8">
        <v>0</v>
      </c>
      <c r="E49" s="8">
        <f t="shared" si="1"/>
        <v>1040540</v>
      </c>
      <c r="F49" s="14"/>
      <c r="G49" s="88"/>
    </row>
    <row r="50" spans="1:7" x14ac:dyDescent="0.25">
      <c r="A50" s="8" t="s">
        <v>35</v>
      </c>
      <c r="B50" s="8" t="s">
        <v>36</v>
      </c>
      <c r="C50" s="9">
        <v>11008</v>
      </c>
      <c r="D50" s="8">
        <v>0</v>
      </c>
      <c r="E50" s="8">
        <f t="shared" si="1"/>
        <v>1051548</v>
      </c>
      <c r="F50" s="14"/>
      <c r="G50" s="88"/>
    </row>
    <row r="51" spans="1:7" x14ac:dyDescent="0.25">
      <c r="A51" s="8" t="s">
        <v>35</v>
      </c>
      <c r="B51" s="8" t="s">
        <v>36</v>
      </c>
      <c r="C51" s="9">
        <v>16791</v>
      </c>
      <c r="D51" s="8">
        <v>0</v>
      </c>
      <c r="E51" s="8">
        <f t="shared" si="1"/>
        <v>1068339</v>
      </c>
      <c r="F51" s="14"/>
      <c r="G51" s="88"/>
    </row>
    <row r="52" spans="1:7" x14ac:dyDescent="0.25">
      <c r="A52" s="8" t="s">
        <v>35</v>
      </c>
      <c r="B52" s="8" t="s">
        <v>36</v>
      </c>
      <c r="C52" s="9">
        <v>7716</v>
      </c>
      <c r="D52" s="8">
        <v>0</v>
      </c>
      <c r="E52" s="8">
        <f t="shared" si="1"/>
        <v>1076055</v>
      </c>
      <c r="F52" s="14"/>
      <c r="G52" s="88"/>
    </row>
    <row r="53" spans="1:7" x14ac:dyDescent="0.25">
      <c r="A53" s="8" t="s">
        <v>35</v>
      </c>
      <c r="B53" s="8" t="s">
        <v>37</v>
      </c>
      <c r="C53" s="9">
        <v>39103</v>
      </c>
      <c r="D53" s="8">
        <v>0</v>
      </c>
      <c r="E53" s="8">
        <f t="shared" si="1"/>
        <v>1115158</v>
      </c>
      <c r="F53" s="14"/>
      <c r="G53" s="88"/>
    </row>
    <row r="54" spans="1:7" x14ac:dyDescent="0.25">
      <c r="A54" s="8" t="s">
        <v>35</v>
      </c>
      <c r="B54" s="8" t="s">
        <v>36</v>
      </c>
      <c r="C54" s="9">
        <v>15012</v>
      </c>
      <c r="D54" s="8">
        <v>0</v>
      </c>
      <c r="E54" s="8">
        <f t="shared" si="1"/>
        <v>1130170</v>
      </c>
      <c r="F54" s="14"/>
      <c r="G54" s="88"/>
    </row>
    <row r="55" spans="1:7" x14ac:dyDescent="0.25">
      <c r="A55" s="8" t="s">
        <v>35</v>
      </c>
      <c r="B55" s="8" t="s">
        <v>36</v>
      </c>
      <c r="C55" s="9">
        <v>7779</v>
      </c>
      <c r="D55" s="8">
        <v>0</v>
      </c>
      <c r="E55" s="8">
        <f t="shared" si="1"/>
        <v>1137949</v>
      </c>
      <c r="F55" s="14"/>
      <c r="G55" s="88"/>
    </row>
    <row r="56" spans="1:7" x14ac:dyDescent="0.25">
      <c r="A56" s="8" t="s">
        <v>35</v>
      </c>
      <c r="B56" s="8" t="s">
        <v>36</v>
      </c>
      <c r="C56" s="9">
        <v>7780</v>
      </c>
      <c r="D56" s="8">
        <v>0</v>
      </c>
      <c r="E56" s="8">
        <f t="shared" si="1"/>
        <v>1145729</v>
      </c>
      <c r="F56" s="14"/>
      <c r="G56" s="88"/>
    </row>
    <row r="57" spans="1:7" x14ac:dyDescent="0.25">
      <c r="A57" s="8" t="s">
        <v>35</v>
      </c>
      <c r="B57" s="8" t="s">
        <v>36</v>
      </c>
      <c r="C57" s="9">
        <v>7724</v>
      </c>
      <c r="D57" s="8">
        <v>0</v>
      </c>
      <c r="E57" s="8">
        <f t="shared" si="1"/>
        <v>1153453</v>
      </c>
      <c r="F57" s="14"/>
      <c r="G57" s="88"/>
    </row>
    <row r="58" spans="1:7" x14ac:dyDescent="0.25">
      <c r="A58" s="8" t="s">
        <v>35</v>
      </c>
      <c r="B58" s="8" t="s">
        <v>38</v>
      </c>
      <c r="C58" s="9">
        <v>10038</v>
      </c>
      <c r="D58" s="8">
        <v>0</v>
      </c>
      <c r="E58" s="8">
        <f t="shared" si="1"/>
        <v>1163491</v>
      </c>
      <c r="F58" s="14"/>
      <c r="G58" s="88"/>
    </row>
    <row r="59" spans="1:7" x14ac:dyDescent="0.25">
      <c r="A59" s="8" t="s">
        <v>35</v>
      </c>
      <c r="B59" s="8" t="s">
        <v>39</v>
      </c>
      <c r="C59" s="9">
        <v>15014</v>
      </c>
      <c r="D59" s="8">
        <v>0</v>
      </c>
      <c r="E59" s="8">
        <f t="shared" si="1"/>
        <v>1178505</v>
      </c>
      <c r="F59" s="14"/>
      <c r="G59" s="88"/>
    </row>
    <row r="60" spans="1:7" x14ac:dyDescent="0.25">
      <c r="A60" s="8" t="s">
        <v>35</v>
      </c>
      <c r="B60" s="8" t="s">
        <v>36</v>
      </c>
      <c r="C60" s="9">
        <v>7713</v>
      </c>
      <c r="D60" s="8">
        <v>0</v>
      </c>
      <c r="E60" s="8">
        <f t="shared" si="1"/>
        <v>1186218</v>
      </c>
      <c r="F60" s="14"/>
      <c r="G60" s="88"/>
    </row>
    <row r="61" spans="1:7" x14ac:dyDescent="0.25">
      <c r="A61" s="8" t="s">
        <v>35</v>
      </c>
      <c r="B61" s="8" t="s">
        <v>36</v>
      </c>
      <c r="C61" s="9">
        <v>7747</v>
      </c>
      <c r="D61" s="8">
        <v>0</v>
      </c>
      <c r="E61" s="8">
        <f t="shared" si="1"/>
        <v>1193965</v>
      </c>
      <c r="F61" s="14"/>
      <c r="G61" s="88"/>
    </row>
    <row r="62" spans="1:7" x14ac:dyDescent="0.25">
      <c r="A62" s="8" t="s">
        <v>35</v>
      </c>
      <c r="B62" s="8" t="s">
        <v>36</v>
      </c>
      <c r="C62" s="9">
        <v>7771</v>
      </c>
      <c r="D62" s="8">
        <v>0</v>
      </c>
      <c r="E62" s="8">
        <f t="shared" si="1"/>
        <v>1201736</v>
      </c>
      <c r="F62" s="14"/>
      <c r="G62" s="88"/>
    </row>
    <row r="63" spans="1:7" x14ac:dyDescent="0.25">
      <c r="A63" s="8" t="s">
        <v>35</v>
      </c>
      <c r="B63" s="8" t="s">
        <v>36</v>
      </c>
      <c r="C63" s="9">
        <v>60072</v>
      </c>
      <c r="D63" s="8">
        <v>0</v>
      </c>
      <c r="E63" s="8">
        <f t="shared" si="1"/>
        <v>1261808</v>
      </c>
      <c r="F63" s="14"/>
      <c r="G63" s="88"/>
    </row>
    <row r="64" spans="1:7" x14ac:dyDescent="0.25">
      <c r="A64" s="8" t="s">
        <v>35</v>
      </c>
      <c r="B64" s="8" t="s">
        <v>36</v>
      </c>
      <c r="C64" s="9">
        <v>7776</v>
      </c>
      <c r="D64" s="8">
        <v>0</v>
      </c>
      <c r="E64" s="8">
        <f t="shared" si="1"/>
        <v>1269584</v>
      </c>
      <c r="F64" s="14"/>
      <c r="G64" s="88"/>
    </row>
    <row r="65" spans="1:7" x14ac:dyDescent="0.25">
      <c r="A65" s="8" t="s">
        <v>35</v>
      </c>
      <c r="B65" s="8" t="s">
        <v>36</v>
      </c>
      <c r="C65" s="9">
        <v>7787</v>
      </c>
      <c r="D65" s="8">
        <v>0</v>
      </c>
      <c r="E65" s="8">
        <f t="shared" si="1"/>
        <v>1277371</v>
      </c>
      <c r="F65" s="14"/>
      <c r="G65" s="88"/>
    </row>
    <row r="66" spans="1:7" x14ac:dyDescent="0.25">
      <c r="A66" s="8" t="s">
        <v>35</v>
      </c>
      <c r="B66" s="8" t="s">
        <v>36</v>
      </c>
      <c r="C66" s="9">
        <v>7718</v>
      </c>
      <c r="D66" s="8">
        <v>0</v>
      </c>
      <c r="E66" s="8">
        <f t="shared" si="1"/>
        <v>1285089</v>
      </c>
      <c r="F66" s="14"/>
      <c r="G66" s="88"/>
    </row>
    <row r="67" spans="1:7" x14ac:dyDescent="0.25">
      <c r="A67" s="8" t="s">
        <v>40</v>
      </c>
      <c r="B67" s="8" t="s">
        <v>36</v>
      </c>
      <c r="C67" s="9">
        <v>7798</v>
      </c>
      <c r="D67" s="8">
        <v>0</v>
      </c>
      <c r="E67" s="8">
        <f t="shared" ref="E67:E98" si="2">E66+C67-D67</f>
        <v>1292887</v>
      </c>
      <c r="F67" s="14"/>
      <c r="G67" s="88"/>
    </row>
    <row r="68" spans="1:7" x14ac:dyDescent="0.25">
      <c r="A68" s="8" t="s">
        <v>40</v>
      </c>
      <c r="B68" s="8" t="s">
        <v>36</v>
      </c>
      <c r="C68" s="9">
        <v>19415</v>
      </c>
      <c r="D68" s="8">
        <v>0</v>
      </c>
      <c r="E68" s="8">
        <f t="shared" si="2"/>
        <v>1312302</v>
      </c>
      <c r="F68" s="14"/>
      <c r="G68" s="88"/>
    </row>
    <row r="69" spans="1:7" x14ac:dyDescent="0.25">
      <c r="A69" s="8" t="s">
        <v>35</v>
      </c>
      <c r="B69" s="8" t="s">
        <v>36</v>
      </c>
      <c r="C69" s="9">
        <v>7804</v>
      </c>
      <c r="D69" s="8">
        <v>0</v>
      </c>
      <c r="E69" s="8">
        <f t="shared" si="2"/>
        <v>1320106</v>
      </c>
      <c r="F69" s="14"/>
      <c r="G69" s="88"/>
    </row>
    <row r="70" spans="1:7" x14ac:dyDescent="0.25">
      <c r="A70" s="8" t="s">
        <v>35</v>
      </c>
      <c r="B70" s="8" t="s">
        <v>36</v>
      </c>
      <c r="C70" s="9">
        <v>7717</v>
      </c>
      <c r="D70" s="8">
        <v>0</v>
      </c>
      <c r="E70" s="8">
        <f t="shared" si="2"/>
        <v>1327823</v>
      </c>
      <c r="F70" s="14"/>
      <c r="G70" s="88"/>
    </row>
    <row r="71" spans="1:7" x14ac:dyDescent="0.25">
      <c r="A71" s="8" t="s">
        <v>35</v>
      </c>
      <c r="B71" s="8" t="s">
        <v>36</v>
      </c>
      <c r="C71" s="9">
        <v>7730</v>
      </c>
      <c r="D71" s="8">
        <v>0</v>
      </c>
      <c r="E71" s="8">
        <f t="shared" si="2"/>
        <v>1335553</v>
      </c>
      <c r="F71" s="14"/>
      <c r="G71" s="88"/>
    </row>
    <row r="72" spans="1:7" x14ac:dyDescent="0.25">
      <c r="A72" s="8" t="s">
        <v>35</v>
      </c>
      <c r="B72" s="8" t="s">
        <v>36</v>
      </c>
      <c r="C72" s="9">
        <v>15793</v>
      </c>
      <c r="D72" s="8">
        <v>0</v>
      </c>
      <c r="E72" s="8">
        <f t="shared" si="2"/>
        <v>1351346</v>
      </c>
      <c r="F72" s="14"/>
      <c r="G72" s="88"/>
    </row>
    <row r="73" spans="1:7" x14ac:dyDescent="0.25">
      <c r="A73" s="8" t="s">
        <v>40</v>
      </c>
      <c r="B73" s="8" t="s">
        <v>36</v>
      </c>
      <c r="C73" s="9">
        <v>7760</v>
      </c>
      <c r="D73" s="8">
        <v>0</v>
      </c>
      <c r="E73" s="8">
        <f t="shared" si="2"/>
        <v>1359106</v>
      </c>
      <c r="F73" s="14"/>
      <c r="G73" s="88"/>
    </row>
    <row r="74" spans="1:7" x14ac:dyDescent="0.25">
      <c r="A74" s="8" t="s">
        <v>40</v>
      </c>
      <c r="B74" s="8" t="s">
        <v>38</v>
      </c>
      <c r="C74" s="9">
        <v>10000</v>
      </c>
      <c r="D74" s="8">
        <v>0</v>
      </c>
      <c r="E74" s="8">
        <f t="shared" si="2"/>
        <v>1369106</v>
      </c>
      <c r="F74" s="14"/>
      <c r="G74" s="88"/>
    </row>
    <row r="75" spans="1:7" x14ac:dyDescent="0.25">
      <c r="A75" s="8" t="s">
        <v>40</v>
      </c>
      <c r="B75" s="8" t="s">
        <v>36</v>
      </c>
      <c r="C75" s="9">
        <v>19415</v>
      </c>
      <c r="D75" s="8">
        <v>0</v>
      </c>
      <c r="E75" s="8">
        <f t="shared" si="2"/>
        <v>1388521</v>
      </c>
      <c r="F75" s="14"/>
      <c r="G75" s="88"/>
    </row>
    <row r="76" spans="1:7" x14ac:dyDescent="0.25">
      <c r="A76" s="8" t="s">
        <v>41</v>
      </c>
      <c r="B76" s="8" t="s">
        <v>36</v>
      </c>
      <c r="C76" s="9">
        <v>20390</v>
      </c>
      <c r="D76" s="8">
        <v>0</v>
      </c>
      <c r="E76" s="8">
        <f t="shared" si="2"/>
        <v>1408911</v>
      </c>
      <c r="F76" s="14"/>
      <c r="G76" s="88"/>
    </row>
    <row r="77" spans="1:7" x14ac:dyDescent="0.25">
      <c r="A77" s="8" t="s">
        <v>42</v>
      </c>
      <c r="B77" s="8" t="s">
        <v>36</v>
      </c>
      <c r="C77" s="9">
        <v>16731</v>
      </c>
      <c r="D77" s="8">
        <v>0</v>
      </c>
      <c r="E77" s="8">
        <f t="shared" si="2"/>
        <v>1425642</v>
      </c>
      <c r="F77" s="14"/>
      <c r="G77" s="88"/>
    </row>
    <row r="78" spans="1:7" x14ac:dyDescent="0.25">
      <c r="A78" s="8" t="s">
        <v>43</v>
      </c>
      <c r="B78" s="8" t="s">
        <v>44</v>
      </c>
      <c r="C78" s="8">
        <v>0</v>
      </c>
      <c r="D78" s="9">
        <v>504600</v>
      </c>
      <c r="E78" s="8">
        <f t="shared" si="2"/>
        <v>921042</v>
      </c>
      <c r="F78" s="14"/>
      <c r="G78" s="88"/>
    </row>
    <row r="79" spans="1:7" x14ac:dyDescent="0.25">
      <c r="A79" s="8" t="s">
        <v>43</v>
      </c>
      <c r="B79" s="8" t="s">
        <v>36</v>
      </c>
      <c r="C79" s="9">
        <v>10036</v>
      </c>
      <c r="D79" s="8">
        <v>0</v>
      </c>
      <c r="E79" s="8">
        <f t="shared" si="2"/>
        <v>931078</v>
      </c>
      <c r="F79" s="14"/>
      <c r="G79" s="88"/>
    </row>
    <row r="80" spans="1:7" x14ac:dyDescent="0.25">
      <c r="A80" s="8" t="s">
        <v>43</v>
      </c>
      <c r="B80" s="8" t="s">
        <v>36</v>
      </c>
      <c r="C80" s="9">
        <v>25700</v>
      </c>
      <c r="D80" s="8">
        <v>0</v>
      </c>
      <c r="E80" s="8">
        <f t="shared" si="2"/>
        <v>956778</v>
      </c>
      <c r="F80" s="14"/>
      <c r="G80" s="88"/>
    </row>
    <row r="81" spans="1:7" x14ac:dyDescent="0.25">
      <c r="A81" s="8" t="s">
        <v>43</v>
      </c>
      <c r="B81" s="8" t="s">
        <v>36</v>
      </c>
      <c r="C81" s="9">
        <v>42500</v>
      </c>
      <c r="D81" s="8">
        <v>0</v>
      </c>
      <c r="E81" s="8">
        <f t="shared" si="2"/>
        <v>999278</v>
      </c>
      <c r="F81" s="14"/>
      <c r="G81" s="88"/>
    </row>
    <row r="82" spans="1:7" x14ac:dyDescent="0.25">
      <c r="A82" s="8" t="s">
        <v>43</v>
      </c>
      <c r="B82" s="8" t="s">
        <v>36</v>
      </c>
      <c r="C82" s="9">
        <v>36006</v>
      </c>
      <c r="D82" s="8">
        <v>0</v>
      </c>
      <c r="E82" s="8">
        <f t="shared" si="2"/>
        <v>1035284</v>
      </c>
      <c r="F82" s="14"/>
      <c r="G82" s="88"/>
    </row>
    <row r="83" spans="1:7" x14ac:dyDescent="0.25">
      <c r="A83" s="8" t="s">
        <v>43</v>
      </c>
      <c r="B83" s="8" t="s">
        <v>36</v>
      </c>
      <c r="C83" s="9">
        <v>35688</v>
      </c>
      <c r="D83" s="8">
        <v>0</v>
      </c>
      <c r="E83" s="8">
        <f t="shared" si="2"/>
        <v>1070972</v>
      </c>
      <c r="F83" s="14"/>
      <c r="G83" s="89"/>
    </row>
    <row r="84" spans="1:7" x14ac:dyDescent="0.25">
      <c r="A84" s="6" t="s">
        <v>58</v>
      </c>
      <c r="B84" s="6" t="s">
        <v>62</v>
      </c>
      <c r="C84" s="7">
        <v>150000</v>
      </c>
      <c r="D84" s="6">
        <v>0</v>
      </c>
      <c r="E84" s="6">
        <f t="shared" si="2"/>
        <v>1220972</v>
      </c>
      <c r="F84" s="6">
        <v>62</v>
      </c>
      <c r="G84" s="90" t="s">
        <v>62</v>
      </c>
    </row>
    <row r="85" spans="1:7" x14ac:dyDescent="0.25">
      <c r="A85" s="6" t="s">
        <v>58</v>
      </c>
      <c r="B85" s="6" t="s">
        <v>62</v>
      </c>
      <c r="C85" s="7">
        <v>130000</v>
      </c>
      <c r="D85" s="6">
        <v>0</v>
      </c>
      <c r="E85" s="6">
        <f t="shared" si="2"/>
        <v>1350972</v>
      </c>
      <c r="F85" s="6">
        <v>62</v>
      </c>
      <c r="G85" s="91"/>
    </row>
    <row r="86" spans="1:7" x14ac:dyDescent="0.25">
      <c r="A86" s="6" t="s">
        <v>58</v>
      </c>
      <c r="B86" s="6" t="s">
        <v>62</v>
      </c>
      <c r="C86" s="7">
        <v>150000</v>
      </c>
      <c r="D86" s="6">
        <v>0</v>
      </c>
      <c r="E86" s="6">
        <f t="shared" si="2"/>
        <v>1500972</v>
      </c>
      <c r="F86" s="6">
        <v>44</v>
      </c>
      <c r="G86" s="91"/>
    </row>
    <row r="87" spans="1:7" x14ac:dyDescent="0.25">
      <c r="A87" s="6" t="s">
        <v>63</v>
      </c>
      <c r="B87" s="6" t="s">
        <v>62</v>
      </c>
      <c r="C87" s="7">
        <v>130000</v>
      </c>
      <c r="D87" s="6">
        <v>0</v>
      </c>
      <c r="E87" s="6">
        <f t="shared" si="2"/>
        <v>1630972</v>
      </c>
      <c r="F87" s="6">
        <v>81</v>
      </c>
      <c r="G87" s="91"/>
    </row>
    <row r="88" spans="1:7" x14ac:dyDescent="0.25">
      <c r="A88" s="6" t="s">
        <v>63</v>
      </c>
      <c r="B88" s="6" t="s">
        <v>62</v>
      </c>
      <c r="C88" s="7">
        <v>130000</v>
      </c>
      <c r="D88" s="6">
        <v>0</v>
      </c>
      <c r="E88" s="6">
        <f t="shared" si="2"/>
        <v>1760972</v>
      </c>
      <c r="F88" s="6">
        <v>3</v>
      </c>
      <c r="G88" s="91"/>
    </row>
    <row r="89" spans="1:7" x14ac:dyDescent="0.25">
      <c r="A89" s="6" t="s">
        <v>63</v>
      </c>
      <c r="B89" s="6" t="s">
        <v>62</v>
      </c>
      <c r="C89" s="7">
        <v>130000</v>
      </c>
      <c r="D89" s="6">
        <v>0</v>
      </c>
      <c r="E89" s="6">
        <f t="shared" si="2"/>
        <v>1890972</v>
      </c>
      <c r="F89" s="6"/>
      <c r="G89" s="91"/>
    </row>
    <row r="90" spans="1:7" x14ac:dyDescent="0.25">
      <c r="A90" s="6" t="s">
        <v>64</v>
      </c>
      <c r="B90" s="6" t="s">
        <v>62</v>
      </c>
      <c r="C90" s="7">
        <v>140000</v>
      </c>
      <c r="D90" s="6">
        <v>0</v>
      </c>
      <c r="E90" s="6">
        <f t="shared" si="2"/>
        <v>2030972</v>
      </c>
      <c r="F90" s="6">
        <v>113</v>
      </c>
      <c r="G90" s="91"/>
    </row>
    <row r="91" spans="1:7" x14ac:dyDescent="0.25">
      <c r="A91" s="6" t="s">
        <v>65</v>
      </c>
      <c r="B91" s="6" t="s">
        <v>62</v>
      </c>
      <c r="C91" s="7">
        <v>160000</v>
      </c>
      <c r="D91" s="6">
        <v>0</v>
      </c>
      <c r="E91" s="6">
        <f t="shared" si="2"/>
        <v>2190972</v>
      </c>
      <c r="F91" s="6">
        <v>110</v>
      </c>
      <c r="G91" s="91"/>
    </row>
    <row r="92" spans="1:7" x14ac:dyDescent="0.25">
      <c r="A92" s="6" t="s">
        <v>65</v>
      </c>
      <c r="B92" s="6" t="s">
        <v>62</v>
      </c>
      <c r="C92" s="7">
        <v>130000</v>
      </c>
      <c r="D92" s="6">
        <v>0</v>
      </c>
      <c r="E92" s="6">
        <f t="shared" si="2"/>
        <v>2320972</v>
      </c>
      <c r="F92" s="6">
        <v>39</v>
      </c>
      <c r="G92" s="91"/>
    </row>
    <row r="93" spans="1:7" x14ac:dyDescent="0.25">
      <c r="A93" s="6" t="s">
        <v>11</v>
      </c>
      <c r="B93" s="6" t="s">
        <v>62</v>
      </c>
      <c r="C93" s="7">
        <v>130000</v>
      </c>
      <c r="D93" s="6">
        <v>0</v>
      </c>
      <c r="E93" s="6">
        <f t="shared" si="2"/>
        <v>2450972</v>
      </c>
      <c r="F93" s="6">
        <v>9</v>
      </c>
      <c r="G93" s="91"/>
    </row>
    <row r="94" spans="1:7" x14ac:dyDescent="0.25">
      <c r="A94" s="6" t="s">
        <v>66</v>
      </c>
      <c r="B94" s="6" t="s">
        <v>62</v>
      </c>
      <c r="C94" s="7">
        <v>130000</v>
      </c>
      <c r="D94" s="6">
        <v>0</v>
      </c>
      <c r="E94" s="6">
        <f t="shared" si="2"/>
        <v>2580972</v>
      </c>
      <c r="F94" s="6">
        <v>106</v>
      </c>
      <c r="G94" s="91"/>
    </row>
    <row r="95" spans="1:7" x14ac:dyDescent="0.25">
      <c r="A95" s="6" t="s">
        <v>13</v>
      </c>
      <c r="B95" s="6" t="s">
        <v>62</v>
      </c>
      <c r="C95" s="7">
        <v>130000</v>
      </c>
      <c r="D95" s="6">
        <v>0</v>
      </c>
      <c r="E95" s="6">
        <f t="shared" si="2"/>
        <v>2710972</v>
      </c>
      <c r="F95" s="6">
        <v>112</v>
      </c>
      <c r="G95" s="91"/>
    </row>
    <row r="96" spans="1:7" x14ac:dyDescent="0.25">
      <c r="A96" s="6" t="s">
        <v>67</v>
      </c>
      <c r="B96" s="6" t="s">
        <v>62</v>
      </c>
      <c r="C96" s="7">
        <v>130000</v>
      </c>
      <c r="D96" s="6">
        <v>0</v>
      </c>
      <c r="E96" s="6">
        <f t="shared" si="2"/>
        <v>2840972</v>
      </c>
      <c r="F96" s="6">
        <v>83</v>
      </c>
      <c r="G96" s="91"/>
    </row>
    <row r="97" spans="1:7" x14ac:dyDescent="0.25">
      <c r="A97" s="6" t="s">
        <v>67</v>
      </c>
      <c r="B97" s="6" t="s">
        <v>68</v>
      </c>
      <c r="C97" s="7">
        <v>10000</v>
      </c>
      <c r="D97" s="6">
        <v>0</v>
      </c>
      <c r="E97" s="6">
        <f t="shared" si="2"/>
        <v>2850972</v>
      </c>
      <c r="F97" s="6">
        <v>127</v>
      </c>
      <c r="G97" s="91"/>
    </row>
    <row r="98" spans="1:7" x14ac:dyDescent="0.25">
      <c r="A98" s="6" t="s">
        <v>69</v>
      </c>
      <c r="B98" s="6" t="s">
        <v>62</v>
      </c>
      <c r="C98" s="7">
        <v>140000</v>
      </c>
      <c r="D98" s="6">
        <v>0</v>
      </c>
      <c r="E98" s="6">
        <f t="shared" si="2"/>
        <v>2990972</v>
      </c>
      <c r="F98" s="6">
        <v>131</v>
      </c>
      <c r="G98" s="91"/>
    </row>
    <row r="99" spans="1:7" x14ac:dyDescent="0.25">
      <c r="A99" s="6" t="s">
        <v>70</v>
      </c>
      <c r="B99" s="6" t="s">
        <v>71</v>
      </c>
      <c r="C99" s="7">
        <v>160000</v>
      </c>
      <c r="D99" s="6">
        <v>0</v>
      </c>
      <c r="E99" s="6">
        <f t="shared" ref="E99:E130" si="3">E98+C99-D99</f>
        <v>3150972</v>
      </c>
      <c r="F99" s="6">
        <v>111</v>
      </c>
      <c r="G99" s="91"/>
    </row>
    <row r="100" spans="1:7" x14ac:dyDescent="0.25">
      <c r="A100" s="6" t="s">
        <v>72</v>
      </c>
      <c r="B100" s="6" t="s">
        <v>73</v>
      </c>
      <c r="C100" s="7">
        <v>160000</v>
      </c>
      <c r="D100" s="6">
        <v>0</v>
      </c>
      <c r="E100" s="6">
        <f t="shared" si="3"/>
        <v>3310972</v>
      </c>
      <c r="F100" s="6">
        <v>105</v>
      </c>
      <c r="G100" s="91"/>
    </row>
    <row r="101" spans="1:7" x14ac:dyDescent="0.25">
      <c r="A101" s="6" t="s">
        <v>74</v>
      </c>
      <c r="B101" s="6" t="s">
        <v>62</v>
      </c>
      <c r="C101" s="7">
        <v>140000</v>
      </c>
      <c r="D101" s="6">
        <v>0</v>
      </c>
      <c r="E101" s="6">
        <f t="shared" si="3"/>
        <v>3450972</v>
      </c>
      <c r="F101" s="6">
        <v>65</v>
      </c>
      <c r="G101" s="91"/>
    </row>
    <row r="102" spans="1:7" x14ac:dyDescent="0.25">
      <c r="A102" s="6" t="s">
        <v>74</v>
      </c>
      <c r="B102" s="6" t="s">
        <v>62</v>
      </c>
      <c r="C102" s="7">
        <v>160000</v>
      </c>
      <c r="D102" s="6">
        <v>0</v>
      </c>
      <c r="E102" s="6">
        <f t="shared" si="3"/>
        <v>3610972</v>
      </c>
      <c r="F102" s="6">
        <v>43</v>
      </c>
      <c r="G102" s="91"/>
    </row>
    <row r="103" spans="1:7" x14ac:dyDescent="0.25">
      <c r="A103" s="6" t="s">
        <v>75</v>
      </c>
      <c r="B103" s="6" t="s">
        <v>76</v>
      </c>
      <c r="C103" s="7">
        <v>18000</v>
      </c>
      <c r="D103" s="6">
        <v>0</v>
      </c>
      <c r="E103" s="6">
        <f t="shared" si="3"/>
        <v>3628972</v>
      </c>
      <c r="F103" s="6">
        <v>106</v>
      </c>
      <c r="G103" s="91"/>
    </row>
    <row r="104" spans="1:7" x14ac:dyDescent="0.25">
      <c r="A104" s="6" t="s">
        <v>17</v>
      </c>
      <c r="B104" s="6" t="s">
        <v>77</v>
      </c>
      <c r="C104" s="7">
        <v>200000</v>
      </c>
      <c r="D104" s="6">
        <v>0</v>
      </c>
      <c r="E104" s="6">
        <f t="shared" si="3"/>
        <v>3828972</v>
      </c>
      <c r="F104" s="6">
        <v>129</v>
      </c>
      <c r="G104" s="91"/>
    </row>
    <row r="105" spans="1:7" x14ac:dyDescent="0.25">
      <c r="A105" s="6" t="s">
        <v>17</v>
      </c>
      <c r="B105" s="6" t="s">
        <v>78</v>
      </c>
      <c r="C105" s="7">
        <v>140000</v>
      </c>
      <c r="D105" s="6">
        <v>0</v>
      </c>
      <c r="E105" s="6">
        <f t="shared" si="3"/>
        <v>3968972</v>
      </c>
      <c r="F105" s="6">
        <v>130</v>
      </c>
      <c r="G105" s="91"/>
    </row>
    <row r="106" spans="1:7" x14ac:dyDescent="0.25">
      <c r="A106" s="6" t="s">
        <v>17</v>
      </c>
      <c r="B106" s="6" t="s">
        <v>73</v>
      </c>
      <c r="C106" s="7">
        <v>155000</v>
      </c>
      <c r="D106" s="6">
        <v>0</v>
      </c>
      <c r="E106" s="6">
        <f t="shared" si="3"/>
        <v>4123972</v>
      </c>
      <c r="F106" s="6">
        <v>130</v>
      </c>
      <c r="G106" s="91"/>
    </row>
    <row r="107" spans="1:7" x14ac:dyDescent="0.25">
      <c r="A107" s="6" t="s">
        <v>17</v>
      </c>
      <c r="B107" s="6" t="s">
        <v>62</v>
      </c>
      <c r="C107" s="7">
        <v>140000</v>
      </c>
      <c r="D107" s="6">
        <v>0</v>
      </c>
      <c r="E107" s="6">
        <f t="shared" si="3"/>
        <v>4263972</v>
      </c>
      <c r="F107" s="6">
        <v>120</v>
      </c>
      <c r="G107" s="91"/>
    </row>
    <row r="108" spans="1:7" x14ac:dyDescent="0.25">
      <c r="A108" s="6" t="s">
        <v>17</v>
      </c>
      <c r="B108" s="6" t="s">
        <v>78</v>
      </c>
      <c r="C108" s="7">
        <v>165000</v>
      </c>
      <c r="D108" s="6">
        <v>0</v>
      </c>
      <c r="E108" s="6">
        <f t="shared" si="3"/>
        <v>4428972</v>
      </c>
      <c r="F108" s="6">
        <v>121</v>
      </c>
      <c r="G108" s="91"/>
    </row>
    <row r="109" spans="1:7" x14ac:dyDescent="0.25">
      <c r="A109" s="6" t="s">
        <v>17</v>
      </c>
      <c r="B109" s="6" t="s">
        <v>62</v>
      </c>
      <c r="C109" s="7">
        <v>135000</v>
      </c>
      <c r="D109" s="6">
        <v>0</v>
      </c>
      <c r="E109" s="6">
        <f t="shared" si="3"/>
        <v>4563972</v>
      </c>
      <c r="F109" s="6">
        <v>73</v>
      </c>
      <c r="G109" s="91"/>
    </row>
    <row r="110" spans="1:7" x14ac:dyDescent="0.25">
      <c r="A110" s="6" t="s">
        <v>79</v>
      </c>
      <c r="B110" s="6" t="s">
        <v>62</v>
      </c>
      <c r="C110" s="7">
        <v>140000</v>
      </c>
      <c r="D110" s="6">
        <v>0</v>
      </c>
      <c r="E110" s="6">
        <f t="shared" si="3"/>
        <v>4703972</v>
      </c>
      <c r="F110" s="6">
        <v>118</v>
      </c>
      <c r="G110" s="91"/>
    </row>
    <row r="111" spans="1:7" x14ac:dyDescent="0.25">
      <c r="A111" s="6" t="s">
        <v>79</v>
      </c>
      <c r="B111" s="6" t="s">
        <v>62</v>
      </c>
      <c r="C111" s="7">
        <v>140000</v>
      </c>
      <c r="D111" s="6">
        <v>0</v>
      </c>
      <c r="E111" s="6">
        <f t="shared" si="3"/>
        <v>4843972</v>
      </c>
      <c r="F111" s="6">
        <v>122</v>
      </c>
      <c r="G111" s="91"/>
    </row>
    <row r="112" spans="1:7" x14ac:dyDescent="0.25">
      <c r="A112" s="6" t="s">
        <v>79</v>
      </c>
      <c r="B112" s="6" t="s">
        <v>62</v>
      </c>
      <c r="C112" s="7">
        <v>140000</v>
      </c>
      <c r="D112" s="6">
        <v>0</v>
      </c>
      <c r="E112" s="6">
        <f t="shared" si="3"/>
        <v>4983972</v>
      </c>
      <c r="F112" s="6">
        <v>133</v>
      </c>
      <c r="G112" s="91"/>
    </row>
    <row r="113" spans="1:7" x14ac:dyDescent="0.25">
      <c r="A113" s="6" t="s">
        <v>79</v>
      </c>
      <c r="B113" s="6" t="s">
        <v>80</v>
      </c>
      <c r="C113" s="7">
        <v>298000</v>
      </c>
      <c r="D113" s="6">
        <v>0</v>
      </c>
      <c r="E113" s="6">
        <f t="shared" si="3"/>
        <v>5281972</v>
      </c>
      <c r="F113" s="6">
        <v>135</v>
      </c>
      <c r="G113" s="91"/>
    </row>
    <row r="114" spans="1:7" x14ac:dyDescent="0.25">
      <c r="A114" s="6" t="s">
        <v>79</v>
      </c>
      <c r="B114" s="6" t="s">
        <v>73</v>
      </c>
      <c r="C114" s="7">
        <v>170000</v>
      </c>
      <c r="D114" s="6">
        <v>0</v>
      </c>
      <c r="E114" s="6">
        <f t="shared" si="3"/>
        <v>5451972</v>
      </c>
      <c r="F114" s="6">
        <v>17</v>
      </c>
      <c r="G114" s="91"/>
    </row>
    <row r="115" spans="1:7" x14ac:dyDescent="0.25">
      <c r="A115" s="6" t="s">
        <v>81</v>
      </c>
      <c r="B115" s="6" t="s">
        <v>73</v>
      </c>
      <c r="C115" s="7">
        <v>180000</v>
      </c>
      <c r="D115" s="6">
        <v>0</v>
      </c>
      <c r="E115" s="6">
        <f t="shared" si="3"/>
        <v>5631972</v>
      </c>
      <c r="F115" s="6">
        <v>137</v>
      </c>
      <c r="G115" s="91"/>
    </row>
    <row r="116" spans="1:7" x14ac:dyDescent="0.25">
      <c r="A116" s="6" t="s">
        <v>82</v>
      </c>
      <c r="B116" s="6" t="s">
        <v>62</v>
      </c>
      <c r="C116" s="7">
        <v>140000</v>
      </c>
      <c r="D116" s="6">
        <v>0</v>
      </c>
      <c r="E116" s="6">
        <f t="shared" si="3"/>
        <v>5771972</v>
      </c>
      <c r="F116" s="6">
        <v>125</v>
      </c>
      <c r="G116" s="91"/>
    </row>
    <row r="117" spans="1:7" x14ac:dyDescent="0.25">
      <c r="A117" s="6" t="s">
        <v>22</v>
      </c>
      <c r="B117" s="6" t="s">
        <v>62</v>
      </c>
      <c r="C117" s="7">
        <v>130000</v>
      </c>
      <c r="D117" s="6">
        <v>0</v>
      </c>
      <c r="E117" s="6">
        <f t="shared" si="3"/>
        <v>5901972</v>
      </c>
      <c r="F117" s="6">
        <v>27</v>
      </c>
      <c r="G117" s="91"/>
    </row>
    <row r="118" spans="1:7" x14ac:dyDescent="0.25">
      <c r="A118" s="6" t="s">
        <v>83</v>
      </c>
      <c r="B118" s="6" t="s">
        <v>62</v>
      </c>
      <c r="C118" s="7">
        <v>140000</v>
      </c>
      <c r="D118" s="6">
        <v>0</v>
      </c>
      <c r="E118" s="6">
        <f t="shared" si="3"/>
        <v>6041972</v>
      </c>
      <c r="F118" s="6" t="s">
        <v>84</v>
      </c>
      <c r="G118" s="91"/>
    </row>
    <row r="119" spans="1:7" x14ac:dyDescent="0.25">
      <c r="A119" s="6" t="s">
        <v>85</v>
      </c>
      <c r="B119" s="6" t="s">
        <v>86</v>
      </c>
      <c r="C119" s="6">
        <v>0</v>
      </c>
      <c r="D119" s="7">
        <v>3890000</v>
      </c>
      <c r="E119" s="6">
        <f t="shared" si="3"/>
        <v>2151972</v>
      </c>
      <c r="F119" s="10"/>
      <c r="G119" s="92"/>
    </row>
    <row r="120" spans="1:7" x14ac:dyDescent="0.25">
      <c r="A120" s="11" t="s">
        <v>9</v>
      </c>
      <c r="B120" s="11" t="s">
        <v>10</v>
      </c>
      <c r="C120" s="12">
        <v>50000</v>
      </c>
      <c r="D120" s="11">
        <v>0</v>
      </c>
      <c r="E120" s="11">
        <f t="shared" si="3"/>
        <v>2201972</v>
      </c>
      <c r="F120" s="13"/>
      <c r="G120" s="93" t="s">
        <v>143</v>
      </c>
    </row>
    <row r="121" spans="1:7" x14ac:dyDescent="0.25">
      <c r="A121" s="11" t="s">
        <v>11</v>
      </c>
      <c r="B121" s="11" t="s">
        <v>12</v>
      </c>
      <c r="C121" s="12">
        <v>500000</v>
      </c>
      <c r="D121" s="11">
        <v>0</v>
      </c>
      <c r="E121" s="11">
        <f t="shared" si="3"/>
        <v>2701972</v>
      </c>
      <c r="F121" s="13"/>
      <c r="G121" s="94"/>
    </row>
    <row r="122" spans="1:7" x14ac:dyDescent="0.25">
      <c r="A122" s="11" t="s">
        <v>13</v>
      </c>
      <c r="B122" s="11" t="s">
        <v>14</v>
      </c>
      <c r="C122" s="11">
        <v>0</v>
      </c>
      <c r="D122" s="12">
        <v>85472</v>
      </c>
      <c r="E122" s="11">
        <f t="shared" si="3"/>
        <v>2616500</v>
      </c>
      <c r="F122" s="13"/>
      <c r="G122" s="94"/>
    </row>
    <row r="123" spans="1:7" x14ac:dyDescent="0.25">
      <c r="A123" s="11" t="s">
        <v>13</v>
      </c>
      <c r="B123" s="11" t="s">
        <v>15</v>
      </c>
      <c r="C123" s="11">
        <v>0</v>
      </c>
      <c r="D123" s="12">
        <v>400000</v>
      </c>
      <c r="E123" s="11">
        <f t="shared" si="3"/>
        <v>2216500</v>
      </c>
      <c r="F123" s="13"/>
      <c r="G123" s="94"/>
    </row>
    <row r="124" spans="1:7" x14ac:dyDescent="0.25">
      <c r="A124" s="11" t="s">
        <v>13</v>
      </c>
      <c r="B124" s="11" t="s">
        <v>16</v>
      </c>
      <c r="C124" s="12">
        <v>5000</v>
      </c>
      <c r="D124" s="11">
        <v>0</v>
      </c>
      <c r="E124" s="11">
        <f t="shared" si="3"/>
        <v>2221500</v>
      </c>
      <c r="F124" s="13"/>
      <c r="G124" s="94"/>
    </row>
    <row r="125" spans="1:7" x14ac:dyDescent="0.25">
      <c r="A125" s="11" t="s">
        <v>17</v>
      </c>
      <c r="B125" s="11" t="s">
        <v>18</v>
      </c>
      <c r="C125" s="11">
        <v>0</v>
      </c>
      <c r="D125" s="12">
        <v>180000</v>
      </c>
      <c r="E125" s="11">
        <f t="shared" si="3"/>
        <v>2041500</v>
      </c>
      <c r="F125" s="13"/>
      <c r="G125" s="94"/>
    </row>
    <row r="126" spans="1:7" x14ac:dyDescent="0.25">
      <c r="A126" s="11" t="s">
        <v>17</v>
      </c>
      <c r="B126" s="11" t="s">
        <v>19</v>
      </c>
      <c r="C126" s="12">
        <v>50000</v>
      </c>
      <c r="D126" s="11">
        <v>0</v>
      </c>
      <c r="E126" s="11">
        <f t="shared" si="3"/>
        <v>2091500</v>
      </c>
      <c r="F126" s="13"/>
      <c r="G126" s="94"/>
    </row>
    <row r="127" spans="1:7" x14ac:dyDescent="0.25">
      <c r="A127" s="11" t="s">
        <v>17</v>
      </c>
      <c r="B127" s="11" t="s">
        <v>20</v>
      </c>
      <c r="C127" s="12">
        <v>50000</v>
      </c>
      <c r="D127" s="11">
        <v>0</v>
      </c>
      <c r="E127" s="11">
        <f t="shared" si="3"/>
        <v>2141500</v>
      </c>
      <c r="F127" s="13"/>
      <c r="G127" s="94"/>
    </row>
    <row r="128" spans="1:7" x14ac:dyDescent="0.25">
      <c r="A128" s="11" t="s">
        <v>17</v>
      </c>
      <c r="B128" s="11" t="s">
        <v>21</v>
      </c>
      <c r="C128" s="12">
        <v>50000</v>
      </c>
      <c r="D128" s="11">
        <v>0</v>
      </c>
      <c r="E128" s="11">
        <f t="shared" si="3"/>
        <v>2191500</v>
      </c>
      <c r="F128" s="13"/>
      <c r="G128" s="94"/>
    </row>
    <row r="129" spans="1:7" x14ac:dyDescent="0.25">
      <c r="A129" s="11" t="s">
        <v>22</v>
      </c>
      <c r="B129" s="11" t="s">
        <v>23</v>
      </c>
      <c r="C129" s="12">
        <v>60000</v>
      </c>
      <c r="D129" s="11">
        <v>0</v>
      </c>
      <c r="E129" s="11">
        <f t="shared" si="3"/>
        <v>2251500</v>
      </c>
      <c r="F129" s="13"/>
      <c r="G129" s="94"/>
    </row>
    <row r="130" spans="1:7" x14ac:dyDescent="0.25">
      <c r="A130" s="11" t="s">
        <v>24</v>
      </c>
      <c r="B130" s="11" t="s">
        <v>25</v>
      </c>
      <c r="C130" s="12">
        <v>50000</v>
      </c>
      <c r="D130" s="11">
        <v>0</v>
      </c>
      <c r="E130" s="11">
        <f t="shared" si="3"/>
        <v>2301500</v>
      </c>
      <c r="F130" s="13"/>
      <c r="G130" s="94"/>
    </row>
    <row r="131" spans="1:7" x14ac:dyDescent="0.25">
      <c r="A131" s="11" t="s">
        <v>24</v>
      </c>
      <c r="B131" s="11" t="s">
        <v>26</v>
      </c>
      <c r="C131" s="12">
        <v>50000</v>
      </c>
      <c r="D131" s="11">
        <v>0</v>
      </c>
      <c r="E131" s="11">
        <f t="shared" ref="E131:E162" si="4">E130+C131-D131</f>
        <v>2351500</v>
      </c>
      <c r="F131" s="13"/>
      <c r="G131" s="94"/>
    </row>
    <row r="132" spans="1:7" x14ac:dyDescent="0.25">
      <c r="A132" s="11" t="s">
        <v>27</v>
      </c>
      <c r="B132" s="11" t="s">
        <v>28</v>
      </c>
      <c r="C132" s="12">
        <v>50000</v>
      </c>
      <c r="D132" s="11">
        <v>0</v>
      </c>
      <c r="E132" s="11">
        <f t="shared" si="4"/>
        <v>2401500</v>
      </c>
      <c r="F132" s="13"/>
      <c r="G132" s="94"/>
    </row>
    <row r="133" spans="1:7" x14ac:dyDescent="0.25">
      <c r="A133" s="11" t="s">
        <v>29</v>
      </c>
      <c r="B133" s="11" t="s">
        <v>30</v>
      </c>
      <c r="C133" s="12">
        <v>50000</v>
      </c>
      <c r="D133" s="11">
        <v>0</v>
      </c>
      <c r="E133" s="11">
        <f t="shared" si="4"/>
        <v>2451500</v>
      </c>
      <c r="F133" s="13"/>
      <c r="G133" s="94"/>
    </row>
    <row r="134" spans="1:7" x14ac:dyDescent="0.25">
      <c r="A134" s="11" t="s">
        <v>33</v>
      </c>
      <c r="B134" s="11" t="s">
        <v>31</v>
      </c>
      <c r="C134" s="12">
        <v>50000</v>
      </c>
      <c r="D134" s="11">
        <v>0</v>
      </c>
      <c r="E134" s="11">
        <f t="shared" si="4"/>
        <v>2501500</v>
      </c>
      <c r="F134" s="13"/>
      <c r="G134" s="94"/>
    </row>
    <row r="135" spans="1:7" x14ac:dyDescent="0.25">
      <c r="A135" s="11" t="s">
        <v>33</v>
      </c>
      <c r="B135" s="11" t="s">
        <v>32</v>
      </c>
      <c r="C135" s="12">
        <v>13000</v>
      </c>
      <c r="D135" s="11">
        <v>0</v>
      </c>
      <c r="E135" s="11">
        <f t="shared" si="4"/>
        <v>2514500</v>
      </c>
      <c r="F135" s="13"/>
      <c r="G135" s="94"/>
    </row>
    <row r="136" spans="1:7" x14ac:dyDescent="0.25">
      <c r="A136" s="11" t="s">
        <v>33</v>
      </c>
      <c r="B136" s="11" t="s">
        <v>34</v>
      </c>
      <c r="C136" s="12">
        <v>50000</v>
      </c>
      <c r="D136" s="11">
        <v>0</v>
      </c>
      <c r="E136" s="11">
        <f t="shared" si="4"/>
        <v>2564500</v>
      </c>
      <c r="F136" s="13"/>
      <c r="G136" s="94"/>
    </row>
    <row r="137" spans="1:7" x14ac:dyDescent="0.25">
      <c r="A137" s="11" t="s">
        <v>87</v>
      </c>
      <c r="B137" s="11" t="s">
        <v>88</v>
      </c>
      <c r="C137" s="12">
        <v>60000</v>
      </c>
      <c r="D137" s="11">
        <v>0</v>
      </c>
      <c r="E137" s="11">
        <f t="shared" si="4"/>
        <v>2624500</v>
      </c>
      <c r="F137" s="13"/>
      <c r="G137" s="94"/>
    </row>
    <row r="138" spans="1:7" x14ac:dyDescent="0.25">
      <c r="A138" s="11" t="s">
        <v>89</v>
      </c>
      <c r="B138" s="11" t="s">
        <v>90</v>
      </c>
      <c r="C138" s="12">
        <v>50000</v>
      </c>
      <c r="D138" s="11">
        <v>0</v>
      </c>
      <c r="E138" s="11">
        <f t="shared" si="4"/>
        <v>2674500</v>
      </c>
      <c r="F138" s="13"/>
      <c r="G138" s="94"/>
    </row>
    <row r="139" spans="1:7" x14ac:dyDescent="0.25">
      <c r="A139" s="11" t="s">
        <v>89</v>
      </c>
      <c r="B139" s="11" t="s">
        <v>91</v>
      </c>
      <c r="C139" s="12">
        <v>50000</v>
      </c>
      <c r="D139" s="11">
        <v>0</v>
      </c>
      <c r="E139" s="11">
        <f t="shared" si="4"/>
        <v>2724500</v>
      </c>
      <c r="F139" s="13"/>
      <c r="G139" s="94"/>
    </row>
    <row r="140" spans="1:7" x14ac:dyDescent="0.25">
      <c r="A140" s="11" t="s">
        <v>92</v>
      </c>
      <c r="B140" s="11" t="s">
        <v>93</v>
      </c>
      <c r="C140" s="12">
        <v>50000</v>
      </c>
      <c r="D140" s="11">
        <v>0</v>
      </c>
      <c r="E140" s="11">
        <f t="shared" si="4"/>
        <v>2774500</v>
      </c>
      <c r="F140" s="13"/>
      <c r="G140" s="94"/>
    </row>
    <row r="141" spans="1:7" x14ac:dyDescent="0.25">
      <c r="A141" s="11" t="s">
        <v>92</v>
      </c>
      <c r="B141" s="11" t="s">
        <v>32</v>
      </c>
      <c r="C141" s="12">
        <v>10000</v>
      </c>
      <c r="D141" s="11">
        <v>0</v>
      </c>
      <c r="E141" s="11">
        <f t="shared" si="4"/>
        <v>2784500</v>
      </c>
      <c r="F141" s="13"/>
      <c r="G141" s="94"/>
    </row>
    <row r="142" spans="1:7" x14ac:dyDescent="0.25">
      <c r="A142" s="29" t="s">
        <v>94</v>
      </c>
      <c r="B142" s="29" t="s">
        <v>95</v>
      </c>
      <c r="C142" s="30">
        <v>10000</v>
      </c>
      <c r="D142" s="29">
        <v>0</v>
      </c>
      <c r="E142" s="29">
        <f t="shared" si="4"/>
        <v>2794500</v>
      </c>
      <c r="F142" s="29">
        <v>140</v>
      </c>
      <c r="G142" s="94"/>
    </row>
    <row r="143" spans="1:7" x14ac:dyDescent="0.25">
      <c r="A143" s="11" t="s">
        <v>96</v>
      </c>
      <c r="B143" s="11" t="s">
        <v>97</v>
      </c>
      <c r="C143" s="11">
        <v>0</v>
      </c>
      <c r="D143" s="12">
        <v>50000</v>
      </c>
      <c r="E143" s="11">
        <f t="shared" si="4"/>
        <v>2744500</v>
      </c>
      <c r="F143" s="13"/>
      <c r="G143" s="94"/>
    </row>
    <row r="144" spans="1:7" x14ac:dyDescent="0.25">
      <c r="A144" s="18" t="s">
        <v>98</v>
      </c>
      <c r="B144" s="18" t="s">
        <v>99</v>
      </c>
      <c r="C144" s="18">
        <v>0</v>
      </c>
      <c r="D144" s="19">
        <v>150000</v>
      </c>
      <c r="E144" s="18">
        <f t="shared" si="4"/>
        <v>2594500</v>
      </c>
      <c r="F144" s="20"/>
      <c r="G144" s="94"/>
    </row>
    <row r="145" spans="1:7" x14ac:dyDescent="0.25">
      <c r="A145" s="11" t="s">
        <v>100</v>
      </c>
      <c r="B145" s="11" t="s">
        <v>101</v>
      </c>
      <c r="C145" s="12">
        <v>50000</v>
      </c>
      <c r="D145" s="11">
        <v>0</v>
      </c>
      <c r="E145" s="11">
        <f t="shared" si="4"/>
        <v>2644500</v>
      </c>
      <c r="F145" s="13"/>
      <c r="G145" s="94"/>
    </row>
    <row r="146" spans="1:7" x14ac:dyDescent="0.25">
      <c r="A146" s="11" t="s">
        <v>102</v>
      </c>
      <c r="B146" s="11" t="s">
        <v>103</v>
      </c>
      <c r="C146" s="12">
        <v>60000</v>
      </c>
      <c r="D146" s="11">
        <v>0</v>
      </c>
      <c r="E146" s="11">
        <f t="shared" si="4"/>
        <v>2704500</v>
      </c>
      <c r="F146" s="13"/>
      <c r="G146" s="94"/>
    </row>
    <row r="147" spans="1:7" x14ac:dyDescent="0.25">
      <c r="A147" s="11" t="s">
        <v>104</v>
      </c>
      <c r="B147" s="11" t="s">
        <v>105</v>
      </c>
      <c r="C147" s="12">
        <v>50000</v>
      </c>
      <c r="D147" s="11">
        <v>0</v>
      </c>
      <c r="E147" s="11">
        <f t="shared" si="4"/>
        <v>2754500</v>
      </c>
      <c r="F147" s="13"/>
      <c r="G147" s="94"/>
    </row>
    <row r="148" spans="1:7" x14ac:dyDescent="0.25">
      <c r="A148" s="11" t="s">
        <v>104</v>
      </c>
      <c r="B148" s="11" t="s">
        <v>106</v>
      </c>
      <c r="C148" s="12">
        <v>0</v>
      </c>
      <c r="D148" s="12">
        <v>60000</v>
      </c>
      <c r="E148" s="11">
        <f t="shared" si="4"/>
        <v>2694500</v>
      </c>
      <c r="F148" s="13"/>
      <c r="G148" s="94"/>
    </row>
    <row r="149" spans="1:7" x14ac:dyDescent="0.25">
      <c r="A149" s="11" t="s">
        <v>104</v>
      </c>
      <c r="B149" s="11" t="s">
        <v>107</v>
      </c>
      <c r="C149" s="11">
        <v>0</v>
      </c>
      <c r="D149" s="12">
        <v>30000</v>
      </c>
      <c r="E149" s="11">
        <f t="shared" si="4"/>
        <v>2664500</v>
      </c>
      <c r="F149" s="13"/>
      <c r="G149" s="94"/>
    </row>
    <row r="150" spans="1:7" x14ac:dyDescent="0.25">
      <c r="A150" s="11" t="s">
        <v>104</v>
      </c>
      <c r="B150" s="11" t="s">
        <v>108</v>
      </c>
      <c r="C150" s="11">
        <v>0</v>
      </c>
      <c r="D150" s="12">
        <v>30000</v>
      </c>
      <c r="E150" s="11">
        <f t="shared" si="4"/>
        <v>2634500</v>
      </c>
      <c r="F150" s="13"/>
      <c r="G150" s="94"/>
    </row>
    <row r="151" spans="1:7" x14ac:dyDescent="0.25">
      <c r="A151" s="11" t="s">
        <v>104</v>
      </c>
      <c r="B151" s="11" t="s">
        <v>109</v>
      </c>
      <c r="C151" s="11">
        <v>0</v>
      </c>
      <c r="D151" s="12">
        <v>30000</v>
      </c>
      <c r="E151" s="11">
        <f t="shared" si="4"/>
        <v>2604500</v>
      </c>
      <c r="F151" s="13"/>
      <c r="G151" s="94"/>
    </row>
    <row r="152" spans="1:7" x14ac:dyDescent="0.25">
      <c r="A152" s="11" t="s">
        <v>104</v>
      </c>
      <c r="B152" s="11" t="s">
        <v>110</v>
      </c>
      <c r="C152" s="11">
        <v>0</v>
      </c>
      <c r="D152" s="12">
        <v>30000</v>
      </c>
      <c r="E152" s="11">
        <f t="shared" si="4"/>
        <v>2574500</v>
      </c>
      <c r="F152" s="13"/>
      <c r="G152" s="94"/>
    </row>
    <row r="153" spans="1:7" x14ac:dyDescent="0.25">
      <c r="A153" s="11" t="s">
        <v>104</v>
      </c>
      <c r="B153" s="11" t="s">
        <v>111</v>
      </c>
      <c r="C153" s="11">
        <v>0</v>
      </c>
      <c r="D153" s="12">
        <v>30000</v>
      </c>
      <c r="E153" s="11">
        <f t="shared" si="4"/>
        <v>2544500</v>
      </c>
      <c r="F153" s="13"/>
      <c r="G153" s="94"/>
    </row>
    <row r="154" spans="1:7" x14ac:dyDescent="0.25">
      <c r="A154" s="11" t="s">
        <v>104</v>
      </c>
      <c r="B154" s="11" t="s">
        <v>112</v>
      </c>
      <c r="C154" s="11">
        <v>0</v>
      </c>
      <c r="D154" s="12">
        <v>30000</v>
      </c>
      <c r="E154" s="11">
        <f t="shared" si="4"/>
        <v>2514500</v>
      </c>
      <c r="F154" s="13"/>
      <c r="G154" s="94"/>
    </row>
    <row r="155" spans="1:7" x14ac:dyDescent="0.25">
      <c r="A155" s="11" t="s">
        <v>104</v>
      </c>
      <c r="B155" s="11" t="s">
        <v>113</v>
      </c>
      <c r="C155" s="11">
        <v>0</v>
      </c>
      <c r="D155" s="12">
        <v>30000</v>
      </c>
      <c r="E155" s="11">
        <f t="shared" si="4"/>
        <v>2484500</v>
      </c>
      <c r="F155" s="13"/>
      <c r="G155" s="94"/>
    </row>
    <row r="156" spans="1:7" x14ac:dyDescent="0.25">
      <c r="A156" s="11" t="s">
        <v>114</v>
      </c>
      <c r="B156" s="11" t="s">
        <v>115</v>
      </c>
      <c r="C156" s="11">
        <v>0</v>
      </c>
      <c r="D156" s="12">
        <v>374000</v>
      </c>
      <c r="E156" s="11">
        <f t="shared" si="4"/>
        <v>2110500</v>
      </c>
      <c r="F156" s="13"/>
      <c r="G156" s="95"/>
    </row>
    <row r="157" spans="1:7" x14ac:dyDescent="0.25">
      <c r="A157" s="21" t="s">
        <v>114</v>
      </c>
      <c r="B157" s="21" t="s">
        <v>116</v>
      </c>
      <c r="C157" s="22">
        <v>24000</v>
      </c>
      <c r="D157" s="21">
        <v>0</v>
      </c>
      <c r="E157" s="21">
        <f>E156+C157-D157</f>
        <v>2134500</v>
      </c>
      <c r="F157" s="23"/>
      <c r="G157" s="96" t="s">
        <v>119</v>
      </c>
    </row>
    <row r="158" spans="1:7" x14ac:dyDescent="0.25">
      <c r="A158" s="21" t="s">
        <v>117</v>
      </c>
      <c r="B158" s="21" t="s">
        <v>137</v>
      </c>
      <c r="C158" s="22">
        <v>160000</v>
      </c>
      <c r="D158" s="21">
        <v>0</v>
      </c>
      <c r="E158" s="21">
        <f>E157+C158-D158</f>
        <v>2294500</v>
      </c>
      <c r="F158" s="23"/>
      <c r="G158" s="97"/>
    </row>
    <row r="159" spans="1:7" x14ac:dyDescent="0.25">
      <c r="A159" s="21" t="s">
        <v>117</v>
      </c>
      <c r="B159" s="21" t="s">
        <v>118</v>
      </c>
      <c r="C159" s="22">
        <v>18000</v>
      </c>
      <c r="D159" s="21">
        <v>0</v>
      </c>
      <c r="E159" s="21">
        <f>E158+C159-D159</f>
        <v>2312500</v>
      </c>
      <c r="F159" s="23"/>
      <c r="G159" s="97"/>
    </row>
    <row r="160" spans="1:7" x14ac:dyDescent="0.25">
      <c r="A160" s="21" t="s">
        <v>114</v>
      </c>
      <c r="B160" s="21" t="s">
        <v>120</v>
      </c>
      <c r="C160" s="22">
        <v>21000</v>
      </c>
      <c r="D160" s="21">
        <v>0</v>
      </c>
      <c r="E160" s="21">
        <f>E159+C160-D160</f>
        <v>2333500</v>
      </c>
      <c r="F160" s="23"/>
      <c r="G160" s="97"/>
    </row>
    <row r="161" spans="1:7" x14ac:dyDescent="0.25">
      <c r="A161" s="21" t="s">
        <v>114</v>
      </c>
      <c r="B161" s="21" t="s">
        <v>122</v>
      </c>
      <c r="C161" s="22">
        <v>10000</v>
      </c>
      <c r="D161" s="21">
        <v>0</v>
      </c>
      <c r="E161" s="21">
        <f t="shared" si="4"/>
        <v>2343500</v>
      </c>
      <c r="F161" s="23"/>
      <c r="G161" s="97"/>
    </row>
    <row r="162" spans="1:7" x14ac:dyDescent="0.25">
      <c r="A162" s="21" t="s">
        <v>114</v>
      </c>
      <c r="B162" s="21" t="s">
        <v>121</v>
      </c>
      <c r="C162" s="22">
        <v>8000</v>
      </c>
      <c r="D162" s="21">
        <v>0</v>
      </c>
      <c r="E162" s="21">
        <f t="shared" si="4"/>
        <v>2351500</v>
      </c>
      <c r="F162" s="23"/>
      <c r="G162" s="97"/>
    </row>
    <row r="163" spans="1:7" x14ac:dyDescent="0.25">
      <c r="A163" s="21" t="s">
        <v>123</v>
      </c>
      <c r="B163" s="21" t="s">
        <v>125</v>
      </c>
      <c r="C163" s="22">
        <v>22000</v>
      </c>
      <c r="D163" s="21">
        <v>0</v>
      </c>
      <c r="E163" s="21">
        <f t="shared" ref="E163:E194" si="5">E162+C163-D163</f>
        <v>2373500</v>
      </c>
      <c r="F163" s="23"/>
      <c r="G163" s="97"/>
    </row>
    <row r="164" spans="1:7" x14ac:dyDescent="0.25">
      <c r="A164" s="21" t="s">
        <v>123</v>
      </c>
      <c r="B164" s="21" t="s">
        <v>124</v>
      </c>
      <c r="C164" s="22">
        <v>22000</v>
      </c>
      <c r="D164" s="21">
        <v>0</v>
      </c>
      <c r="E164" s="21">
        <f t="shared" si="5"/>
        <v>2395500</v>
      </c>
      <c r="F164" s="23"/>
      <c r="G164" s="97"/>
    </row>
    <row r="165" spans="1:7" x14ac:dyDescent="0.25">
      <c r="A165" s="21" t="s">
        <v>123</v>
      </c>
      <c r="B165" s="21" t="s">
        <v>126</v>
      </c>
      <c r="C165" s="22">
        <v>10000</v>
      </c>
      <c r="D165" s="21">
        <v>0</v>
      </c>
      <c r="E165" s="21">
        <f t="shared" si="5"/>
        <v>2405500</v>
      </c>
      <c r="F165" s="23"/>
      <c r="G165" s="97"/>
    </row>
    <row r="166" spans="1:7" x14ac:dyDescent="0.25">
      <c r="A166" s="21" t="s">
        <v>117</v>
      </c>
      <c r="B166" s="21" t="s">
        <v>127</v>
      </c>
      <c r="C166" s="22">
        <v>85000</v>
      </c>
      <c r="D166" s="21">
        <v>0</v>
      </c>
      <c r="E166" s="21">
        <f t="shared" si="5"/>
        <v>2490500</v>
      </c>
      <c r="F166" s="23"/>
      <c r="G166" s="97"/>
    </row>
    <row r="167" spans="1:7" x14ac:dyDescent="0.25">
      <c r="A167" s="21" t="s">
        <v>117</v>
      </c>
      <c r="B167" s="21" t="s">
        <v>128</v>
      </c>
      <c r="C167" s="22">
        <v>18000</v>
      </c>
      <c r="D167" s="21">
        <v>0</v>
      </c>
      <c r="E167" s="21">
        <f t="shared" si="5"/>
        <v>2508500</v>
      </c>
      <c r="F167" s="23"/>
      <c r="G167" s="97"/>
    </row>
    <row r="168" spans="1:7" x14ac:dyDescent="0.25">
      <c r="A168" s="21" t="s">
        <v>117</v>
      </c>
      <c r="B168" s="21" t="s">
        <v>129</v>
      </c>
      <c r="C168" s="22">
        <v>11500</v>
      </c>
      <c r="D168" s="21">
        <v>0</v>
      </c>
      <c r="E168" s="21">
        <f t="shared" si="5"/>
        <v>2520000</v>
      </c>
      <c r="F168" s="23"/>
      <c r="G168" s="97"/>
    </row>
    <row r="169" spans="1:7" x14ac:dyDescent="0.25">
      <c r="A169" s="21" t="s">
        <v>117</v>
      </c>
      <c r="B169" s="21" t="s">
        <v>134</v>
      </c>
      <c r="C169" s="21">
        <v>0</v>
      </c>
      <c r="D169" s="22">
        <v>21000</v>
      </c>
      <c r="E169" s="21">
        <f t="shared" si="5"/>
        <v>2499000</v>
      </c>
      <c r="F169" s="23"/>
      <c r="G169" s="97"/>
    </row>
    <row r="170" spans="1:7" x14ac:dyDescent="0.25">
      <c r="A170" s="21" t="s">
        <v>117</v>
      </c>
      <c r="B170" s="21" t="s">
        <v>138</v>
      </c>
      <c r="C170" s="22">
        <v>18000</v>
      </c>
      <c r="D170" s="21">
        <v>0</v>
      </c>
      <c r="E170" s="21">
        <f t="shared" si="5"/>
        <v>2517000</v>
      </c>
      <c r="F170" s="23"/>
      <c r="G170" s="97"/>
    </row>
    <row r="171" spans="1:7" x14ac:dyDescent="0.25">
      <c r="A171" s="21" t="s">
        <v>130</v>
      </c>
      <c r="B171" s="21" t="s">
        <v>131</v>
      </c>
      <c r="C171" s="22">
        <v>21000</v>
      </c>
      <c r="D171" s="21">
        <v>0</v>
      </c>
      <c r="E171" s="21">
        <f t="shared" si="5"/>
        <v>2538000</v>
      </c>
      <c r="F171" s="23"/>
      <c r="G171" s="97"/>
    </row>
    <row r="172" spans="1:7" x14ac:dyDescent="0.25">
      <c r="A172" s="21" t="s">
        <v>132</v>
      </c>
      <c r="B172" s="21" t="s">
        <v>133</v>
      </c>
      <c r="C172" s="22">
        <v>44500</v>
      </c>
      <c r="D172" s="21">
        <v>0</v>
      </c>
      <c r="E172" s="21">
        <f t="shared" si="5"/>
        <v>2582500</v>
      </c>
      <c r="F172" s="23"/>
      <c r="G172" s="97"/>
    </row>
    <row r="173" spans="1:7" x14ac:dyDescent="0.25">
      <c r="A173" s="21" t="s">
        <v>117</v>
      </c>
      <c r="B173" s="21" t="s">
        <v>135</v>
      </c>
      <c r="C173" s="22">
        <v>21000</v>
      </c>
      <c r="D173" s="21">
        <v>0</v>
      </c>
      <c r="E173" s="21">
        <f t="shared" si="5"/>
        <v>2603500</v>
      </c>
      <c r="F173" s="23"/>
      <c r="G173" s="97"/>
    </row>
    <row r="174" spans="1:7" x14ac:dyDescent="0.25">
      <c r="A174" s="21" t="s">
        <v>132</v>
      </c>
      <c r="B174" s="21" t="s">
        <v>136</v>
      </c>
      <c r="C174" s="22">
        <v>76000</v>
      </c>
      <c r="D174" s="21">
        <v>0</v>
      </c>
      <c r="E174" s="21">
        <f t="shared" si="5"/>
        <v>2679500</v>
      </c>
      <c r="F174" s="23"/>
      <c r="G174" s="97"/>
    </row>
    <row r="175" spans="1:7" x14ac:dyDescent="0.25">
      <c r="A175" s="21" t="s">
        <v>139</v>
      </c>
      <c r="B175" s="21" t="s">
        <v>140</v>
      </c>
      <c r="C175" s="21">
        <v>0</v>
      </c>
      <c r="D175" s="22">
        <v>11000</v>
      </c>
      <c r="E175" s="21">
        <f t="shared" si="5"/>
        <v>2668500</v>
      </c>
      <c r="F175" s="23"/>
      <c r="G175" s="97"/>
    </row>
    <row r="176" spans="1:7" x14ac:dyDescent="0.25">
      <c r="A176" s="21" t="s">
        <v>141</v>
      </c>
      <c r="B176" s="21" t="s">
        <v>142</v>
      </c>
      <c r="C176" s="22">
        <v>30000</v>
      </c>
      <c r="D176" s="21">
        <v>0</v>
      </c>
      <c r="E176" s="21">
        <f t="shared" si="5"/>
        <v>2698500</v>
      </c>
      <c r="F176" s="23"/>
      <c r="G176" s="98"/>
    </row>
    <row r="177" spans="1:7" x14ac:dyDescent="0.25">
      <c r="A177" s="24" t="s">
        <v>92</v>
      </c>
      <c r="B177" s="24" t="s">
        <v>144</v>
      </c>
      <c r="C177" s="24">
        <v>0</v>
      </c>
      <c r="D177" s="25">
        <v>50000</v>
      </c>
      <c r="E177" s="24">
        <f t="shared" si="5"/>
        <v>2648500</v>
      </c>
      <c r="F177" s="26"/>
      <c r="G177" s="81" t="s">
        <v>149</v>
      </c>
    </row>
    <row r="178" spans="1:7" x14ac:dyDescent="0.25">
      <c r="A178" s="24" t="s">
        <v>145</v>
      </c>
      <c r="B178" s="24" t="s">
        <v>146</v>
      </c>
      <c r="C178" s="24">
        <v>0</v>
      </c>
      <c r="D178" s="25">
        <v>10000</v>
      </c>
      <c r="E178" s="24">
        <f t="shared" si="5"/>
        <v>2638500</v>
      </c>
      <c r="F178" s="26"/>
      <c r="G178" s="82"/>
    </row>
    <row r="179" spans="1:7" x14ac:dyDescent="0.25">
      <c r="A179" s="24" t="s">
        <v>55</v>
      </c>
      <c r="B179" s="24" t="s">
        <v>147</v>
      </c>
      <c r="C179" s="24">
        <v>0</v>
      </c>
      <c r="D179" s="25">
        <v>50000</v>
      </c>
      <c r="E179" s="24">
        <f t="shared" si="5"/>
        <v>2588500</v>
      </c>
      <c r="F179" s="26"/>
      <c r="G179" s="82"/>
    </row>
    <row r="180" spans="1:7" x14ac:dyDescent="0.25">
      <c r="A180" s="24" t="s">
        <v>53</v>
      </c>
      <c r="B180" s="24" t="s">
        <v>148</v>
      </c>
      <c r="C180" s="24">
        <v>0</v>
      </c>
      <c r="D180" s="25">
        <v>60266</v>
      </c>
      <c r="E180" s="24">
        <f t="shared" si="5"/>
        <v>2528234</v>
      </c>
      <c r="F180" s="26"/>
      <c r="G180" s="82"/>
    </row>
    <row r="181" spans="1:7" x14ac:dyDescent="0.25">
      <c r="A181" s="24" t="s">
        <v>53</v>
      </c>
      <c r="B181" s="24" t="s">
        <v>148</v>
      </c>
      <c r="C181" s="24">
        <v>0</v>
      </c>
      <c r="D181" s="25">
        <v>130027</v>
      </c>
      <c r="E181" s="24">
        <f>E180+C181-D181</f>
        <v>2398207</v>
      </c>
      <c r="F181" s="26"/>
      <c r="G181" s="83"/>
    </row>
    <row r="182" spans="1:7" x14ac:dyDescent="0.25">
      <c r="A182" s="27" t="s">
        <v>150</v>
      </c>
      <c r="B182" s="27" t="s">
        <v>151</v>
      </c>
      <c r="C182" s="28">
        <v>260000</v>
      </c>
      <c r="D182" s="27">
        <v>0</v>
      </c>
      <c r="E182" s="27">
        <f>E181+C182-D182</f>
        <v>2658207</v>
      </c>
      <c r="F182" s="27">
        <v>77</v>
      </c>
      <c r="G182" s="78" t="s">
        <v>152</v>
      </c>
    </row>
    <row r="183" spans="1:7" x14ac:dyDescent="0.25">
      <c r="A183" s="27" t="s">
        <v>153</v>
      </c>
      <c r="B183" s="27" t="s">
        <v>154</v>
      </c>
      <c r="C183" s="28">
        <v>260000</v>
      </c>
      <c r="D183" s="27">
        <v>0</v>
      </c>
      <c r="E183" s="27">
        <f t="shared" si="5"/>
        <v>2918207</v>
      </c>
      <c r="F183" s="31"/>
      <c r="G183" s="79"/>
    </row>
    <row r="184" spans="1:7" x14ac:dyDescent="0.25">
      <c r="A184" s="27" t="s">
        <v>92</v>
      </c>
      <c r="B184" s="27" t="s">
        <v>155</v>
      </c>
      <c r="C184" s="28">
        <v>130000</v>
      </c>
      <c r="D184" s="27">
        <v>0</v>
      </c>
      <c r="E184" s="27">
        <f t="shared" si="5"/>
        <v>3048207</v>
      </c>
      <c r="F184" s="27">
        <v>140</v>
      </c>
      <c r="G184" s="80"/>
    </row>
    <row r="185" spans="1:7" x14ac:dyDescent="0.25">
      <c r="A185" s="32">
        <v>46267</v>
      </c>
      <c r="B185" s="33" t="s">
        <v>166</v>
      </c>
      <c r="C185" s="33">
        <v>0</v>
      </c>
      <c r="D185" s="34">
        <v>50000</v>
      </c>
      <c r="E185" s="33">
        <f t="shared" si="5"/>
        <v>2998207</v>
      </c>
      <c r="F185" s="35"/>
      <c r="G185" s="35"/>
    </row>
    <row r="186" spans="1:7" x14ac:dyDescent="0.25">
      <c r="A186" s="36">
        <v>46269</v>
      </c>
      <c r="B186" s="27" t="s">
        <v>158</v>
      </c>
      <c r="C186" s="28">
        <v>290000</v>
      </c>
      <c r="D186" s="28">
        <v>0</v>
      </c>
      <c r="E186" s="27">
        <f t="shared" si="5"/>
        <v>3288207</v>
      </c>
      <c r="F186" s="31"/>
      <c r="G186" s="37" t="s">
        <v>152</v>
      </c>
    </row>
    <row r="187" spans="1:7" x14ac:dyDescent="0.25">
      <c r="A187" s="36">
        <v>46270</v>
      </c>
      <c r="B187" s="27" t="s">
        <v>159</v>
      </c>
      <c r="C187" s="28">
        <v>290000</v>
      </c>
      <c r="D187" s="27">
        <v>0</v>
      </c>
      <c r="E187" s="27">
        <f t="shared" si="5"/>
        <v>3578207</v>
      </c>
      <c r="F187" s="31"/>
      <c r="G187" s="38"/>
    </row>
    <row r="188" spans="1:7" x14ac:dyDescent="0.25">
      <c r="A188" s="36">
        <v>46280</v>
      </c>
      <c r="B188" s="27" t="s">
        <v>161</v>
      </c>
      <c r="C188" s="28">
        <v>140000</v>
      </c>
      <c r="D188" s="27">
        <v>0</v>
      </c>
      <c r="E188" s="27">
        <f t="shared" si="5"/>
        <v>3718207</v>
      </c>
      <c r="F188" s="31"/>
      <c r="G188" s="38"/>
    </row>
    <row r="189" spans="1:7" x14ac:dyDescent="0.25">
      <c r="A189" s="36">
        <v>46280</v>
      </c>
      <c r="B189" s="27" t="s">
        <v>160</v>
      </c>
      <c r="C189" s="28">
        <v>130000</v>
      </c>
      <c r="D189" s="27">
        <v>0</v>
      </c>
      <c r="E189" s="27">
        <f t="shared" si="5"/>
        <v>3848207</v>
      </c>
      <c r="F189" s="31"/>
      <c r="G189" s="38"/>
    </row>
    <row r="190" spans="1:7" x14ac:dyDescent="0.25">
      <c r="A190" s="36">
        <v>46281</v>
      </c>
      <c r="B190" s="27" t="s">
        <v>162</v>
      </c>
      <c r="C190" s="28">
        <v>270000</v>
      </c>
      <c r="D190" s="27">
        <v>0</v>
      </c>
      <c r="E190" s="27">
        <f t="shared" si="5"/>
        <v>4118207</v>
      </c>
      <c r="F190" s="31"/>
      <c r="G190" s="38"/>
    </row>
    <row r="191" spans="1:7" x14ac:dyDescent="0.25">
      <c r="A191" s="36">
        <v>46281</v>
      </c>
      <c r="B191" s="27" t="s">
        <v>163</v>
      </c>
      <c r="C191" s="28">
        <v>130000</v>
      </c>
      <c r="D191" s="27">
        <v>0</v>
      </c>
      <c r="E191" s="27">
        <f t="shared" si="5"/>
        <v>4248207</v>
      </c>
      <c r="F191" s="31"/>
      <c r="G191" s="38"/>
    </row>
    <row r="192" spans="1:7" x14ac:dyDescent="0.25">
      <c r="A192" s="36">
        <v>46281</v>
      </c>
      <c r="B192" s="27" t="s">
        <v>164</v>
      </c>
      <c r="C192" s="28">
        <v>165000</v>
      </c>
      <c r="D192" s="27">
        <v>0</v>
      </c>
      <c r="E192" s="27">
        <f t="shared" si="5"/>
        <v>4413207</v>
      </c>
      <c r="F192" s="31"/>
      <c r="G192" s="38"/>
    </row>
    <row r="193" spans="1:7" x14ac:dyDescent="0.25">
      <c r="A193" s="36">
        <v>46281</v>
      </c>
      <c r="B193" s="27" t="s">
        <v>165</v>
      </c>
      <c r="C193" s="28">
        <v>260000</v>
      </c>
      <c r="D193" s="27">
        <v>0</v>
      </c>
      <c r="E193" s="27">
        <f t="shared" si="5"/>
        <v>4673207</v>
      </c>
      <c r="F193" s="31"/>
      <c r="G193" s="38"/>
    </row>
    <row r="194" spans="1:7" x14ac:dyDescent="0.25">
      <c r="A194" s="36">
        <v>46282</v>
      </c>
      <c r="B194" s="27" t="s">
        <v>167</v>
      </c>
      <c r="C194" s="28">
        <v>130000</v>
      </c>
      <c r="D194" s="27">
        <v>0</v>
      </c>
      <c r="E194" s="27">
        <f t="shared" si="5"/>
        <v>4803207</v>
      </c>
      <c r="F194" s="31"/>
      <c r="G194" s="38"/>
    </row>
    <row r="195" spans="1:7" x14ac:dyDescent="0.25">
      <c r="A195" s="36">
        <v>46282</v>
      </c>
      <c r="B195" s="27" t="s">
        <v>168</v>
      </c>
      <c r="C195" s="28">
        <v>140000</v>
      </c>
      <c r="D195" s="27">
        <v>0</v>
      </c>
      <c r="E195" s="27">
        <f t="shared" ref="E195:E239" si="6">E194+C195-D195</f>
        <v>4943207</v>
      </c>
      <c r="F195" s="31"/>
      <c r="G195" s="38"/>
    </row>
    <row r="196" spans="1:7" x14ac:dyDescent="0.25">
      <c r="A196" s="36">
        <v>46283</v>
      </c>
      <c r="B196" s="27" t="s">
        <v>169</v>
      </c>
      <c r="C196" s="28">
        <v>130000</v>
      </c>
      <c r="D196" s="27">
        <v>0</v>
      </c>
      <c r="E196" s="27">
        <f t="shared" si="6"/>
        <v>5073207</v>
      </c>
      <c r="F196" s="31"/>
      <c r="G196" s="38"/>
    </row>
    <row r="197" spans="1:7" x14ac:dyDescent="0.25">
      <c r="A197" s="36">
        <v>46284</v>
      </c>
      <c r="B197" s="27" t="s">
        <v>170</v>
      </c>
      <c r="C197" s="28">
        <v>278000</v>
      </c>
      <c r="D197" s="27">
        <v>0</v>
      </c>
      <c r="E197" s="27">
        <f t="shared" si="6"/>
        <v>5351207</v>
      </c>
      <c r="F197" s="31"/>
      <c r="G197" s="38"/>
    </row>
    <row r="198" spans="1:7" x14ac:dyDescent="0.25">
      <c r="A198" s="36">
        <v>46285</v>
      </c>
      <c r="B198" s="27" t="s">
        <v>172</v>
      </c>
      <c r="C198" s="28">
        <v>315000</v>
      </c>
      <c r="D198" s="27">
        <v>0</v>
      </c>
      <c r="E198" s="27">
        <f t="shared" si="6"/>
        <v>5666207</v>
      </c>
      <c r="F198" s="31"/>
      <c r="G198" s="76"/>
    </row>
    <row r="199" spans="1:7" x14ac:dyDescent="0.25">
      <c r="A199" s="36">
        <v>46286</v>
      </c>
      <c r="B199" s="27" t="s">
        <v>171</v>
      </c>
      <c r="C199" s="28">
        <v>265000</v>
      </c>
      <c r="D199" s="27">
        <v>0</v>
      </c>
      <c r="E199" s="27">
        <f t="shared" si="6"/>
        <v>5931207</v>
      </c>
      <c r="F199" s="31"/>
      <c r="G199" s="77"/>
    </row>
    <row r="200" spans="1:7" x14ac:dyDescent="0.25">
      <c r="A200" s="39">
        <v>46286</v>
      </c>
      <c r="B200" s="40" t="s">
        <v>173</v>
      </c>
      <c r="C200" s="41">
        <v>2000000</v>
      </c>
      <c r="D200" s="40">
        <v>0</v>
      </c>
      <c r="E200" s="40">
        <f t="shared" si="6"/>
        <v>7931207</v>
      </c>
      <c r="F200" s="42"/>
      <c r="G200" s="42" t="s">
        <v>174</v>
      </c>
    </row>
    <row r="201" spans="1:7" x14ac:dyDescent="0.25">
      <c r="A201" s="36">
        <v>46287</v>
      </c>
      <c r="B201" s="27" t="s">
        <v>175</v>
      </c>
      <c r="C201" s="28">
        <v>260000</v>
      </c>
      <c r="D201" s="27">
        <v>0</v>
      </c>
      <c r="E201" s="27">
        <f t="shared" si="6"/>
        <v>8191207</v>
      </c>
      <c r="F201" s="31"/>
      <c r="G201" s="74" t="s">
        <v>152</v>
      </c>
    </row>
    <row r="202" spans="1:7" x14ac:dyDescent="0.25">
      <c r="A202" s="36">
        <v>46287</v>
      </c>
      <c r="B202" s="27" t="s">
        <v>176</v>
      </c>
      <c r="C202" s="28">
        <v>275000</v>
      </c>
      <c r="D202" s="27">
        <v>0</v>
      </c>
      <c r="E202" s="27">
        <f t="shared" si="6"/>
        <v>8466207</v>
      </c>
      <c r="F202" s="31"/>
      <c r="G202" s="75"/>
    </row>
    <row r="203" spans="1:7" x14ac:dyDescent="0.25">
      <c r="A203" s="43">
        <v>46287</v>
      </c>
      <c r="B203" s="44" t="s">
        <v>177</v>
      </c>
      <c r="C203" s="45">
        <v>160000</v>
      </c>
      <c r="D203" s="44">
        <v>0</v>
      </c>
      <c r="E203" s="44">
        <f t="shared" si="6"/>
        <v>8626207</v>
      </c>
      <c r="F203" s="46"/>
      <c r="G203" s="46" t="s">
        <v>178</v>
      </c>
    </row>
    <row r="204" spans="1:7" x14ac:dyDescent="0.25">
      <c r="A204" s="43">
        <v>46287</v>
      </c>
      <c r="B204" s="44" t="s">
        <v>211</v>
      </c>
      <c r="C204" s="45">
        <v>675000</v>
      </c>
      <c r="D204" s="44">
        <v>0</v>
      </c>
      <c r="E204" s="44">
        <f t="shared" si="6"/>
        <v>9301207</v>
      </c>
      <c r="F204" s="46"/>
      <c r="G204" s="46" t="s">
        <v>215</v>
      </c>
    </row>
    <row r="205" spans="1:7" x14ac:dyDescent="0.25">
      <c r="A205" s="43">
        <v>46287</v>
      </c>
      <c r="B205" s="44" t="s">
        <v>212</v>
      </c>
      <c r="C205" s="45">
        <v>450000</v>
      </c>
      <c r="D205" s="44">
        <v>0</v>
      </c>
      <c r="E205" s="44">
        <f t="shared" si="6"/>
        <v>9751207</v>
      </c>
      <c r="F205" s="46"/>
      <c r="G205" s="46" t="s">
        <v>213</v>
      </c>
    </row>
    <row r="206" spans="1:7" x14ac:dyDescent="0.25">
      <c r="A206" s="43">
        <v>46287</v>
      </c>
      <c r="B206" s="44" t="s">
        <v>214</v>
      </c>
      <c r="C206" s="45">
        <v>675000</v>
      </c>
      <c r="D206" s="44">
        <v>0</v>
      </c>
      <c r="E206" s="44">
        <f t="shared" si="6"/>
        <v>10426207</v>
      </c>
      <c r="F206" s="46"/>
      <c r="G206" s="46" t="s">
        <v>215</v>
      </c>
    </row>
    <row r="207" spans="1:7" x14ac:dyDescent="0.25">
      <c r="A207" s="43">
        <v>46287</v>
      </c>
      <c r="B207" s="44" t="s">
        <v>216</v>
      </c>
      <c r="C207" s="45">
        <v>270000</v>
      </c>
      <c r="D207" s="44">
        <v>0</v>
      </c>
      <c r="E207" s="44">
        <f t="shared" si="6"/>
        <v>10696207</v>
      </c>
      <c r="F207" s="46"/>
      <c r="G207" s="46" t="s">
        <v>213</v>
      </c>
    </row>
    <row r="208" spans="1:7" x14ac:dyDescent="0.25">
      <c r="A208" s="43">
        <v>46287</v>
      </c>
      <c r="B208" s="44" t="s">
        <v>217</v>
      </c>
      <c r="C208" s="45">
        <v>675000</v>
      </c>
      <c r="D208" s="44">
        <v>0</v>
      </c>
      <c r="E208" s="44">
        <f t="shared" si="6"/>
        <v>11371207</v>
      </c>
      <c r="F208" s="46"/>
      <c r="G208" s="46" t="s">
        <v>218</v>
      </c>
    </row>
    <row r="209" spans="1:7" x14ac:dyDescent="0.25">
      <c r="A209" s="43">
        <v>46287</v>
      </c>
      <c r="B209" s="44" t="s">
        <v>219</v>
      </c>
      <c r="C209" s="45">
        <v>380000</v>
      </c>
      <c r="D209" s="44">
        <v>0</v>
      </c>
      <c r="E209" s="44">
        <f t="shared" si="6"/>
        <v>11751207</v>
      </c>
      <c r="F209" s="46"/>
      <c r="G209" s="46" t="s">
        <v>213</v>
      </c>
    </row>
    <row r="210" spans="1:7" x14ac:dyDescent="0.25">
      <c r="A210" s="43">
        <v>46287</v>
      </c>
      <c r="B210" s="44" t="s">
        <v>220</v>
      </c>
      <c r="C210" s="45">
        <v>160000</v>
      </c>
      <c r="D210" s="44">
        <v>0</v>
      </c>
      <c r="E210" s="44">
        <f t="shared" si="6"/>
        <v>11911207</v>
      </c>
      <c r="F210" s="46"/>
      <c r="G210" s="46" t="s">
        <v>213</v>
      </c>
    </row>
    <row r="211" spans="1:7" x14ac:dyDescent="0.25">
      <c r="A211" s="36">
        <v>46288</v>
      </c>
      <c r="B211" s="27" t="s">
        <v>221</v>
      </c>
      <c r="C211" s="28">
        <v>140000</v>
      </c>
      <c r="D211" s="27">
        <v>0</v>
      </c>
      <c r="E211" s="27">
        <f t="shared" si="6"/>
        <v>12051207</v>
      </c>
      <c r="F211" s="31"/>
      <c r="G211" s="31" t="s">
        <v>152</v>
      </c>
    </row>
    <row r="212" spans="1:7" x14ac:dyDescent="0.25">
      <c r="A212" s="36">
        <v>46288</v>
      </c>
      <c r="B212" s="27" t="s">
        <v>222</v>
      </c>
      <c r="C212" s="28">
        <v>20000</v>
      </c>
      <c r="D212" s="27">
        <v>0</v>
      </c>
      <c r="E212" s="27">
        <f t="shared" si="6"/>
        <v>12071207</v>
      </c>
      <c r="F212" s="31"/>
      <c r="G212" s="31" t="s">
        <v>152</v>
      </c>
    </row>
    <row r="213" spans="1:7" x14ac:dyDescent="0.25">
      <c r="A213" s="48">
        <v>46288</v>
      </c>
      <c r="B213" s="49" t="s">
        <v>223</v>
      </c>
      <c r="C213" s="50">
        <v>450000</v>
      </c>
      <c r="D213" s="49">
        <v>0</v>
      </c>
      <c r="E213" s="49">
        <f t="shared" si="6"/>
        <v>12521207</v>
      </c>
      <c r="F213" s="51"/>
      <c r="G213" s="51" t="s">
        <v>213</v>
      </c>
    </row>
    <row r="214" spans="1:7" x14ac:dyDescent="0.25">
      <c r="A214" s="36">
        <v>46288</v>
      </c>
      <c r="B214" s="27" t="s">
        <v>224</v>
      </c>
      <c r="C214" s="28">
        <v>140000</v>
      </c>
      <c r="D214" s="27">
        <v>0</v>
      </c>
      <c r="E214" s="27">
        <f t="shared" si="6"/>
        <v>12661207</v>
      </c>
      <c r="F214" s="31"/>
      <c r="G214" s="31" t="s">
        <v>152</v>
      </c>
    </row>
    <row r="215" spans="1:7" x14ac:dyDescent="0.25">
      <c r="A215" s="48">
        <v>46289</v>
      </c>
      <c r="B215" s="49" t="s">
        <v>225</v>
      </c>
      <c r="C215" s="50">
        <v>92500</v>
      </c>
      <c r="D215" s="49">
        <v>0</v>
      </c>
      <c r="E215" s="49">
        <f t="shared" si="6"/>
        <v>12753707</v>
      </c>
      <c r="F215" s="51"/>
      <c r="G215" s="51" t="s">
        <v>213</v>
      </c>
    </row>
    <row r="216" spans="1:7" x14ac:dyDescent="0.25">
      <c r="A216" s="48">
        <v>46289</v>
      </c>
      <c r="B216" s="49" t="s">
        <v>226</v>
      </c>
      <c r="C216" s="50">
        <v>380000</v>
      </c>
      <c r="D216" s="49">
        <v>0</v>
      </c>
      <c r="E216" s="49">
        <f t="shared" si="6"/>
        <v>13133707</v>
      </c>
      <c r="F216" s="51"/>
      <c r="G216" s="51" t="s">
        <v>213</v>
      </c>
    </row>
    <row r="217" spans="1:7" x14ac:dyDescent="0.25">
      <c r="A217" s="48">
        <v>46289</v>
      </c>
      <c r="B217" s="49" t="s">
        <v>227</v>
      </c>
      <c r="C217" s="50">
        <v>380000</v>
      </c>
      <c r="D217" s="49">
        <v>0</v>
      </c>
      <c r="E217" s="49">
        <f t="shared" si="6"/>
        <v>13513707</v>
      </c>
      <c r="F217" s="51"/>
      <c r="G217" s="51" t="s">
        <v>213</v>
      </c>
    </row>
    <row r="218" spans="1:7" x14ac:dyDescent="0.25">
      <c r="A218" s="36">
        <v>46289</v>
      </c>
      <c r="B218" s="27" t="s">
        <v>228</v>
      </c>
      <c r="C218" s="28">
        <v>150000</v>
      </c>
      <c r="D218" s="27">
        <v>0</v>
      </c>
      <c r="E218" s="27">
        <f t="shared" si="6"/>
        <v>13663707</v>
      </c>
      <c r="F218" s="31"/>
      <c r="G218" s="31" t="s">
        <v>152</v>
      </c>
    </row>
    <row r="219" spans="1:7" x14ac:dyDescent="0.25">
      <c r="A219" s="36">
        <v>46289</v>
      </c>
      <c r="B219" s="27" t="s">
        <v>229</v>
      </c>
      <c r="C219" s="28">
        <v>148000</v>
      </c>
      <c r="D219" s="27">
        <v>0</v>
      </c>
      <c r="E219" s="27">
        <f t="shared" si="6"/>
        <v>13811707</v>
      </c>
      <c r="F219" s="31"/>
      <c r="G219" s="31" t="s">
        <v>152</v>
      </c>
    </row>
    <row r="220" spans="1:7" x14ac:dyDescent="0.25">
      <c r="A220" s="36">
        <v>46290</v>
      </c>
      <c r="B220" s="27" t="s">
        <v>230</v>
      </c>
      <c r="C220" s="28">
        <v>148000</v>
      </c>
      <c r="D220" s="27">
        <v>0</v>
      </c>
      <c r="E220" s="27">
        <f t="shared" si="6"/>
        <v>13959707</v>
      </c>
      <c r="F220" s="31"/>
      <c r="G220" s="31" t="s">
        <v>152</v>
      </c>
    </row>
    <row r="221" spans="1:7" x14ac:dyDescent="0.25">
      <c r="A221" s="36">
        <v>46290</v>
      </c>
      <c r="B221" s="27" t="s">
        <v>231</v>
      </c>
      <c r="C221" s="28">
        <v>150000</v>
      </c>
      <c r="D221" s="27">
        <v>0</v>
      </c>
      <c r="E221" s="27">
        <f t="shared" si="6"/>
        <v>14109707</v>
      </c>
      <c r="F221" s="31"/>
      <c r="G221" s="31" t="s">
        <v>152</v>
      </c>
    </row>
    <row r="222" spans="1:7" x14ac:dyDescent="0.25">
      <c r="A222" s="52">
        <v>46290</v>
      </c>
      <c r="B222" s="53" t="s">
        <v>232</v>
      </c>
      <c r="C222" s="53">
        <v>0</v>
      </c>
      <c r="D222" s="54">
        <v>100000</v>
      </c>
      <c r="E222" s="53">
        <f t="shared" si="6"/>
        <v>14009707</v>
      </c>
      <c r="F222" s="55"/>
      <c r="G222" s="55" t="s">
        <v>233</v>
      </c>
    </row>
    <row r="223" spans="1:7" x14ac:dyDescent="0.25">
      <c r="A223" s="52">
        <v>46290</v>
      </c>
      <c r="B223" s="53" t="s">
        <v>234</v>
      </c>
      <c r="C223" s="53">
        <v>0</v>
      </c>
      <c r="D223" s="54">
        <v>225000</v>
      </c>
      <c r="E223" s="53">
        <f t="shared" si="6"/>
        <v>13784707</v>
      </c>
      <c r="F223" s="55"/>
      <c r="G223" s="55" t="s">
        <v>233</v>
      </c>
    </row>
    <row r="224" spans="1:7" x14ac:dyDescent="0.25">
      <c r="A224" s="48">
        <v>46290</v>
      </c>
      <c r="B224" s="49" t="s">
        <v>235</v>
      </c>
      <c r="C224" s="50">
        <v>227500</v>
      </c>
      <c r="D224" s="49">
        <v>0</v>
      </c>
      <c r="E224" s="49">
        <f t="shared" si="6"/>
        <v>14012207</v>
      </c>
      <c r="F224" s="51"/>
      <c r="G224" s="51" t="s">
        <v>213</v>
      </c>
    </row>
    <row r="225" spans="1:7" x14ac:dyDescent="0.25">
      <c r="A225" s="48">
        <v>46290</v>
      </c>
      <c r="B225" s="49" t="s">
        <v>236</v>
      </c>
      <c r="C225" s="50">
        <v>317500</v>
      </c>
      <c r="D225" s="49">
        <v>0</v>
      </c>
      <c r="E225" s="49">
        <f t="shared" si="6"/>
        <v>14329707</v>
      </c>
      <c r="F225" s="51"/>
      <c r="G225" s="51" t="s">
        <v>213</v>
      </c>
    </row>
    <row r="226" spans="1:7" x14ac:dyDescent="0.25">
      <c r="A226" s="48">
        <v>46290</v>
      </c>
      <c r="B226" s="49" t="s">
        <v>237</v>
      </c>
      <c r="C226" s="50">
        <v>200000</v>
      </c>
      <c r="D226" s="49">
        <v>0</v>
      </c>
      <c r="E226" s="49">
        <f t="shared" si="6"/>
        <v>14529707</v>
      </c>
      <c r="F226" s="51"/>
      <c r="G226" s="51" t="s">
        <v>213</v>
      </c>
    </row>
    <row r="227" spans="1:7" x14ac:dyDescent="0.25">
      <c r="A227" s="48">
        <v>46290</v>
      </c>
      <c r="B227" s="49" t="s">
        <v>238</v>
      </c>
      <c r="C227" s="50">
        <v>240000</v>
      </c>
      <c r="D227" s="49">
        <v>0</v>
      </c>
      <c r="E227" s="49">
        <f t="shared" si="6"/>
        <v>14769707</v>
      </c>
      <c r="F227" s="51"/>
      <c r="G227" s="51" t="s">
        <v>213</v>
      </c>
    </row>
    <row r="228" spans="1:7" x14ac:dyDescent="0.25">
      <c r="A228" s="56">
        <v>46290</v>
      </c>
      <c r="B228" s="6" t="s">
        <v>239</v>
      </c>
      <c r="C228" s="7">
        <v>80000</v>
      </c>
      <c r="D228" s="6">
        <v>0</v>
      </c>
      <c r="E228" s="6">
        <f t="shared" si="6"/>
        <v>14849707</v>
      </c>
      <c r="F228" s="10"/>
      <c r="G228" s="10" t="s">
        <v>240</v>
      </c>
    </row>
    <row r="229" spans="1:7" x14ac:dyDescent="0.25">
      <c r="A229" s="48">
        <v>46290</v>
      </c>
      <c r="B229" s="49" t="s">
        <v>241</v>
      </c>
      <c r="C229" s="50">
        <v>50000</v>
      </c>
      <c r="D229" s="49">
        <v>0</v>
      </c>
      <c r="E229" s="49">
        <f t="shared" si="6"/>
        <v>14899707</v>
      </c>
      <c r="F229" s="51"/>
      <c r="G229" s="51" t="s">
        <v>213</v>
      </c>
    </row>
    <row r="230" spans="1:7" x14ac:dyDescent="0.25">
      <c r="A230" s="48">
        <v>46290</v>
      </c>
      <c r="B230" s="49" t="s">
        <v>242</v>
      </c>
      <c r="C230" s="50">
        <v>160000</v>
      </c>
      <c r="D230" s="49">
        <v>0</v>
      </c>
      <c r="E230" s="49">
        <f t="shared" si="6"/>
        <v>15059707</v>
      </c>
      <c r="F230" s="51"/>
      <c r="G230" s="51" t="s">
        <v>213</v>
      </c>
    </row>
    <row r="231" spans="1:7" x14ac:dyDescent="0.25">
      <c r="A231" s="48">
        <v>46291</v>
      </c>
      <c r="B231" s="49" t="s">
        <v>243</v>
      </c>
      <c r="C231" s="50">
        <v>95000</v>
      </c>
      <c r="D231" s="49">
        <v>0</v>
      </c>
      <c r="E231" s="49">
        <f t="shared" si="6"/>
        <v>15154707</v>
      </c>
      <c r="F231" s="51"/>
      <c r="G231" s="51" t="s">
        <v>213</v>
      </c>
    </row>
    <row r="232" spans="1:7" x14ac:dyDescent="0.25">
      <c r="A232" s="48">
        <v>46291</v>
      </c>
      <c r="B232" s="49" t="s">
        <v>244</v>
      </c>
      <c r="C232" s="50">
        <v>50000</v>
      </c>
      <c r="D232" s="49">
        <v>0</v>
      </c>
      <c r="E232" s="49">
        <f t="shared" si="6"/>
        <v>15204707</v>
      </c>
      <c r="F232" s="51"/>
      <c r="G232" s="51" t="s">
        <v>213</v>
      </c>
    </row>
    <row r="233" spans="1:7" x14ac:dyDescent="0.25">
      <c r="A233" s="48">
        <v>46291</v>
      </c>
      <c r="B233" s="49" t="s">
        <v>245</v>
      </c>
      <c r="C233" s="50">
        <v>50000</v>
      </c>
      <c r="D233" s="49">
        <v>0</v>
      </c>
      <c r="E233" s="49">
        <f t="shared" si="6"/>
        <v>15254707</v>
      </c>
      <c r="F233" s="51"/>
      <c r="G233" s="51" t="s">
        <v>213</v>
      </c>
    </row>
    <row r="234" spans="1:7" x14ac:dyDescent="0.25">
      <c r="A234" s="48">
        <v>46291</v>
      </c>
      <c r="B234" s="49" t="s">
        <v>246</v>
      </c>
      <c r="C234" s="50">
        <v>50000</v>
      </c>
      <c r="D234" s="49">
        <v>0</v>
      </c>
      <c r="E234" s="49">
        <f t="shared" si="6"/>
        <v>15304707</v>
      </c>
      <c r="F234" s="51"/>
      <c r="G234" s="51" t="s">
        <v>213</v>
      </c>
    </row>
    <row r="235" spans="1:7" x14ac:dyDescent="0.25">
      <c r="A235" s="56">
        <v>46291</v>
      </c>
      <c r="B235" s="6" t="s">
        <v>247</v>
      </c>
      <c r="C235" s="7">
        <v>135000</v>
      </c>
      <c r="D235" s="6">
        <v>0</v>
      </c>
      <c r="E235" s="6">
        <f t="shared" si="6"/>
        <v>15439707</v>
      </c>
      <c r="F235" s="10"/>
      <c r="G235" s="10" t="s">
        <v>240</v>
      </c>
    </row>
    <row r="236" spans="1:7" x14ac:dyDescent="0.25">
      <c r="A236" s="48">
        <v>46291</v>
      </c>
      <c r="B236" s="49" t="s">
        <v>248</v>
      </c>
      <c r="C236" s="50">
        <v>50000</v>
      </c>
      <c r="D236" s="49">
        <v>0</v>
      </c>
      <c r="E236" s="49">
        <f t="shared" si="6"/>
        <v>15489707</v>
      </c>
      <c r="F236" s="51"/>
      <c r="G236" s="51" t="s">
        <v>213</v>
      </c>
    </row>
    <row r="237" spans="1:7" x14ac:dyDescent="0.25">
      <c r="A237" s="48">
        <v>46291</v>
      </c>
      <c r="B237" s="49" t="s">
        <v>249</v>
      </c>
      <c r="C237" s="50">
        <v>157000</v>
      </c>
      <c r="D237" s="49">
        <v>0</v>
      </c>
      <c r="E237" s="49">
        <f t="shared" si="6"/>
        <v>15646707</v>
      </c>
      <c r="F237" s="51"/>
      <c r="G237" s="51" t="s">
        <v>213</v>
      </c>
    </row>
    <row r="238" spans="1:7" x14ac:dyDescent="0.25">
      <c r="A238" s="58">
        <v>46291</v>
      </c>
      <c r="B238" s="59" t="s">
        <v>250</v>
      </c>
      <c r="C238" s="60">
        <v>100000</v>
      </c>
      <c r="D238" s="59">
        <v>0</v>
      </c>
      <c r="E238" s="6">
        <f t="shared" si="6"/>
        <v>15746707</v>
      </c>
      <c r="F238" s="61"/>
      <c r="G238" s="61" t="s">
        <v>240</v>
      </c>
    </row>
    <row r="239" spans="1:7" x14ac:dyDescent="0.25">
      <c r="A239" s="56">
        <v>46291</v>
      </c>
      <c r="B239" s="6" t="s">
        <v>252</v>
      </c>
      <c r="C239" s="7">
        <v>60000</v>
      </c>
      <c r="D239" s="6">
        <v>0</v>
      </c>
      <c r="E239" s="6">
        <f t="shared" si="6"/>
        <v>15806707</v>
      </c>
      <c r="F239" s="10"/>
      <c r="G239" s="10" t="s">
        <v>240</v>
      </c>
    </row>
    <row r="240" spans="1:7" x14ac:dyDescent="0.25">
      <c r="A240" s="48">
        <v>46291</v>
      </c>
      <c r="B240" s="49" t="s">
        <v>251</v>
      </c>
      <c r="C240" s="50">
        <v>50000</v>
      </c>
      <c r="D240" s="49">
        <v>0</v>
      </c>
      <c r="E240" s="50">
        <f t="shared" ref="E240:E248" si="7">E239+C240-D240</f>
        <v>15856707</v>
      </c>
      <c r="F240" s="51"/>
      <c r="G240" s="51" t="s">
        <v>213</v>
      </c>
    </row>
    <row r="241" spans="1:7" x14ac:dyDescent="0.25">
      <c r="A241" s="56">
        <v>46292</v>
      </c>
      <c r="B241" s="6" t="s">
        <v>253</v>
      </c>
      <c r="C241" s="7">
        <v>95000</v>
      </c>
      <c r="D241" s="6">
        <v>0</v>
      </c>
      <c r="E241" s="7">
        <f t="shared" si="7"/>
        <v>15951707</v>
      </c>
      <c r="F241" s="10"/>
      <c r="G241" s="10" t="s">
        <v>240</v>
      </c>
    </row>
    <row r="242" spans="1:7" x14ac:dyDescent="0.25">
      <c r="A242" s="62">
        <v>46292</v>
      </c>
      <c r="B242" s="63" t="s">
        <v>254</v>
      </c>
      <c r="C242" s="63">
        <v>0</v>
      </c>
      <c r="D242" s="64">
        <v>4210000</v>
      </c>
      <c r="E242" s="64">
        <f t="shared" si="7"/>
        <v>11741707</v>
      </c>
      <c r="F242" s="65"/>
      <c r="G242" s="65" t="s">
        <v>255</v>
      </c>
    </row>
    <row r="243" spans="1:7" x14ac:dyDescent="0.25">
      <c r="A243" s="66">
        <v>46292</v>
      </c>
      <c r="B243" s="67" t="s">
        <v>256</v>
      </c>
      <c r="C243" s="68">
        <v>50000</v>
      </c>
      <c r="D243" s="67">
        <v>0</v>
      </c>
      <c r="E243" s="68">
        <f t="shared" si="7"/>
        <v>11791707</v>
      </c>
      <c r="F243" s="69"/>
      <c r="G243" s="69" t="s">
        <v>213</v>
      </c>
    </row>
    <row r="244" spans="1:7" x14ac:dyDescent="0.25">
      <c r="A244" s="48">
        <v>46294</v>
      </c>
      <c r="B244" s="49" t="s">
        <v>257</v>
      </c>
      <c r="C244" s="50">
        <v>253000</v>
      </c>
      <c r="D244" s="49">
        <v>0</v>
      </c>
      <c r="E244" s="68">
        <f t="shared" si="7"/>
        <v>12044707</v>
      </c>
      <c r="F244" s="51"/>
      <c r="G244" s="51" t="s">
        <v>213</v>
      </c>
    </row>
    <row r="245" spans="1:7" x14ac:dyDescent="0.25">
      <c r="A245" s="48">
        <v>46294</v>
      </c>
      <c r="B245" s="49" t="s">
        <v>258</v>
      </c>
      <c r="C245" s="50">
        <v>450000</v>
      </c>
      <c r="D245" s="49">
        <v>0</v>
      </c>
      <c r="E245" s="68">
        <f t="shared" si="7"/>
        <v>12494707</v>
      </c>
      <c r="F245" s="51"/>
      <c r="G245" s="51" t="s">
        <v>213</v>
      </c>
    </row>
    <row r="246" spans="1:7" x14ac:dyDescent="0.25">
      <c r="A246" s="52">
        <v>46294</v>
      </c>
      <c r="B246" s="53" t="s">
        <v>259</v>
      </c>
      <c r="C246" s="53">
        <v>0</v>
      </c>
      <c r="D246" s="54">
        <v>950000</v>
      </c>
      <c r="E246" s="70">
        <f t="shared" si="7"/>
        <v>11544707</v>
      </c>
      <c r="F246" s="55"/>
      <c r="G246" s="55" t="s">
        <v>260</v>
      </c>
    </row>
    <row r="247" spans="1:7" x14ac:dyDescent="0.25">
      <c r="A247" s="39">
        <v>46294</v>
      </c>
      <c r="B247" s="40" t="s">
        <v>261</v>
      </c>
      <c r="C247" s="41">
        <v>500000</v>
      </c>
      <c r="D247" s="40">
        <v>0</v>
      </c>
      <c r="E247" s="71">
        <f t="shared" si="7"/>
        <v>12044707</v>
      </c>
      <c r="F247" s="42"/>
      <c r="G247" s="42" t="s">
        <v>262</v>
      </c>
    </row>
    <row r="248" spans="1:7" x14ac:dyDescent="0.25">
      <c r="A248" s="32">
        <v>46295</v>
      </c>
      <c r="B248" s="33" t="s">
        <v>263</v>
      </c>
      <c r="C248" s="33">
        <v>0</v>
      </c>
      <c r="D248" s="34">
        <v>2186250</v>
      </c>
      <c r="E248" s="72">
        <f t="shared" si="7"/>
        <v>9858457</v>
      </c>
      <c r="F248" s="35"/>
      <c r="G248" s="35" t="s">
        <v>264</v>
      </c>
    </row>
  </sheetData>
  <mergeCells count="9">
    <mergeCell ref="G201:G202"/>
    <mergeCell ref="G198:G199"/>
    <mergeCell ref="G182:G184"/>
    <mergeCell ref="G177:G181"/>
    <mergeCell ref="G2:G47"/>
    <mergeCell ref="G48:G83"/>
    <mergeCell ref="G84:G119"/>
    <mergeCell ref="G120:G156"/>
    <mergeCell ref="G157:G176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4" sqref="B4"/>
    </sheetView>
  </sheetViews>
  <sheetFormatPr defaultRowHeight="15" x14ac:dyDescent="0.25"/>
  <cols>
    <col min="1" max="1" width="25" customWidth="1"/>
    <col min="2" max="2" width="20" customWidth="1"/>
  </cols>
  <sheetData>
    <row r="1" spans="1:2" ht="21" x14ac:dyDescent="0.35">
      <c r="A1" s="3" t="s">
        <v>5</v>
      </c>
    </row>
    <row r="3" spans="1:2" x14ac:dyDescent="0.25">
      <c r="A3" s="4" t="s">
        <v>6</v>
      </c>
      <c r="B3" s="2">
        <f>SUM(Transaksi!C2:C248)</f>
        <v>29476072</v>
      </c>
    </row>
    <row r="4" spans="1:2" x14ac:dyDescent="0.25">
      <c r="A4" s="4" t="s">
        <v>7</v>
      </c>
      <c r="B4" s="2">
        <f>SUM(Transaksi!D2:D248)</f>
        <v>19617615</v>
      </c>
    </row>
    <row r="5" spans="1:2" x14ac:dyDescent="0.25">
      <c r="A5" s="4" t="s">
        <v>8</v>
      </c>
      <c r="B5" s="2">
        <f>B3-B4</f>
        <v>9858457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zoomScaleNormal="100" workbookViewId="0">
      <selection activeCell="C11" sqref="C11"/>
    </sheetView>
  </sheetViews>
  <sheetFormatPr defaultRowHeight="15" x14ac:dyDescent="0.25"/>
  <cols>
    <col min="1" max="1" width="28.7109375" bestFit="1" customWidth="1"/>
  </cols>
  <sheetData>
    <row r="1" spans="1:2" x14ac:dyDescent="0.25">
      <c r="A1" s="47" t="s">
        <v>208</v>
      </c>
      <c r="B1" s="47" t="s">
        <v>207</v>
      </c>
    </row>
    <row r="2" spans="1:2" x14ac:dyDescent="0.25">
      <c r="A2" s="2" t="s">
        <v>179</v>
      </c>
      <c r="B2" s="2" t="s">
        <v>210</v>
      </c>
    </row>
    <row r="3" spans="1:2" x14ac:dyDescent="0.25">
      <c r="A3" s="2" t="s">
        <v>180</v>
      </c>
      <c r="B3" s="2" t="s">
        <v>210</v>
      </c>
    </row>
    <row r="4" spans="1:2" x14ac:dyDescent="0.25">
      <c r="A4" s="2" t="s">
        <v>181</v>
      </c>
      <c r="B4" s="2" t="s">
        <v>210</v>
      </c>
    </row>
    <row r="5" spans="1:2" x14ac:dyDescent="0.25">
      <c r="A5" s="2" t="s">
        <v>182</v>
      </c>
      <c r="B5" s="2" t="s">
        <v>210</v>
      </c>
    </row>
    <row r="6" spans="1:2" x14ac:dyDescent="0.25">
      <c r="A6" s="2" t="s">
        <v>183</v>
      </c>
      <c r="B6" s="2" t="s">
        <v>210</v>
      </c>
    </row>
    <row r="7" spans="1:2" x14ac:dyDescent="0.25">
      <c r="A7" s="2" t="s">
        <v>184</v>
      </c>
      <c r="B7" s="2" t="s">
        <v>210</v>
      </c>
    </row>
    <row r="8" spans="1:2" x14ac:dyDescent="0.25">
      <c r="A8" s="2" t="s">
        <v>185</v>
      </c>
      <c r="B8" s="2" t="s">
        <v>210</v>
      </c>
    </row>
    <row r="9" spans="1:2" x14ac:dyDescent="0.25">
      <c r="A9" s="2" t="s">
        <v>186</v>
      </c>
      <c r="B9" s="2" t="s">
        <v>210</v>
      </c>
    </row>
    <row r="10" spans="1:2" x14ac:dyDescent="0.25">
      <c r="A10" s="2" t="s">
        <v>187</v>
      </c>
      <c r="B10" s="2" t="s">
        <v>210</v>
      </c>
    </row>
    <row r="11" spans="1:2" x14ac:dyDescent="0.25">
      <c r="A11" s="73" t="s">
        <v>188</v>
      </c>
      <c r="B11" s="73" t="s">
        <v>267</v>
      </c>
    </row>
    <row r="12" spans="1:2" x14ac:dyDescent="0.25">
      <c r="A12" s="2" t="s">
        <v>189</v>
      </c>
      <c r="B12" s="2" t="s">
        <v>210</v>
      </c>
    </row>
    <row r="13" spans="1:2" x14ac:dyDescent="0.25">
      <c r="A13" s="2" t="s">
        <v>190</v>
      </c>
      <c r="B13" s="2" t="s">
        <v>210</v>
      </c>
    </row>
    <row r="14" spans="1:2" x14ac:dyDescent="0.25">
      <c r="A14" s="2" t="s">
        <v>191</v>
      </c>
      <c r="B14" s="2" t="s">
        <v>210</v>
      </c>
    </row>
    <row r="15" spans="1:2" x14ac:dyDescent="0.25">
      <c r="A15" s="2" t="s">
        <v>192</v>
      </c>
      <c r="B15" s="2" t="s">
        <v>210</v>
      </c>
    </row>
    <row r="16" spans="1:2" x14ac:dyDescent="0.25">
      <c r="A16" s="2" t="s">
        <v>193</v>
      </c>
      <c r="B16" s="2" t="s">
        <v>210</v>
      </c>
    </row>
    <row r="17" spans="1:2" x14ac:dyDescent="0.25">
      <c r="A17" s="2" t="s">
        <v>194</v>
      </c>
      <c r="B17" s="2" t="s">
        <v>210</v>
      </c>
    </row>
    <row r="18" spans="1:2" x14ac:dyDescent="0.25">
      <c r="A18" s="23" t="s">
        <v>209</v>
      </c>
      <c r="B18" s="23" t="s">
        <v>266</v>
      </c>
    </row>
    <row r="19" spans="1:2" x14ac:dyDescent="0.25">
      <c r="A19" s="2" t="s">
        <v>195</v>
      </c>
      <c r="B19" s="2" t="s">
        <v>210</v>
      </c>
    </row>
    <row r="20" spans="1:2" x14ac:dyDescent="0.25">
      <c r="A20" s="2" t="s">
        <v>196</v>
      </c>
      <c r="B20" s="2" t="s">
        <v>210</v>
      </c>
    </row>
    <row r="21" spans="1:2" x14ac:dyDescent="0.25">
      <c r="A21" s="2" t="s">
        <v>197</v>
      </c>
      <c r="B21" s="2" t="s">
        <v>210</v>
      </c>
    </row>
    <row r="22" spans="1:2" x14ac:dyDescent="0.25">
      <c r="A22" s="2" t="s">
        <v>198</v>
      </c>
      <c r="B22" s="2" t="s">
        <v>210</v>
      </c>
    </row>
    <row r="23" spans="1:2" x14ac:dyDescent="0.25">
      <c r="A23" s="2" t="s">
        <v>199</v>
      </c>
      <c r="B23" s="2" t="s">
        <v>210</v>
      </c>
    </row>
    <row r="24" spans="1:2" x14ac:dyDescent="0.25">
      <c r="A24" s="2" t="s">
        <v>200</v>
      </c>
      <c r="B24" s="2" t="s">
        <v>210</v>
      </c>
    </row>
    <row r="25" spans="1:2" x14ac:dyDescent="0.25">
      <c r="A25" s="2" t="s">
        <v>201</v>
      </c>
      <c r="B25" s="2" t="s">
        <v>210</v>
      </c>
    </row>
    <row r="26" spans="1:2" x14ac:dyDescent="0.25">
      <c r="A26" s="2" t="s">
        <v>202</v>
      </c>
      <c r="B26" s="2" t="s">
        <v>210</v>
      </c>
    </row>
    <row r="27" spans="1:2" x14ac:dyDescent="0.25">
      <c r="A27" s="2" t="s">
        <v>203</v>
      </c>
      <c r="B27" s="2" t="s">
        <v>210</v>
      </c>
    </row>
    <row r="28" spans="1:2" x14ac:dyDescent="0.25">
      <c r="A28" s="2" t="s">
        <v>204</v>
      </c>
      <c r="B28" s="2" t="s">
        <v>210</v>
      </c>
    </row>
    <row r="29" spans="1:2" x14ac:dyDescent="0.25">
      <c r="A29" s="2" t="s">
        <v>205</v>
      </c>
      <c r="B29" s="2" t="s">
        <v>210</v>
      </c>
    </row>
    <row r="30" spans="1:2" x14ac:dyDescent="0.25">
      <c r="A30" s="2" t="s">
        <v>206</v>
      </c>
      <c r="B30" s="2" t="s">
        <v>210</v>
      </c>
    </row>
    <row r="31" spans="1:2" x14ac:dyDescent="0.25">
      <c r="A31" s="57" t="s">
        <v>265</v>
      </c>
      <c r="B31" s="2" t="s">
        <v>210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opLeftCell="A18" workbookViewId="0">
      <selection activeCell="C34" sqref="C34"/>
    </sheetView>
  </sheetViews>
  <sheetFormatPr defaultRowHeight="15" x14ac:dyDescent="0.25"/>
  <sheetData>
    <row r="1" spans="1:1" x14ac:dyDescent="0.25">
      <c r="A1" s="45">
        <v>160000</v>
      </c>
    </row>
    <row r="2" spans="1:1" x14ac:dyDescent="0.25">
      <c r="A2" s="45">
        <v>675000</v>
      </c>
    </row>
    <row r="3" spans="1:1" x14ac:dyDescent="0.25">
      <c r="A3" s="45">
        <v>450000</v>
      </c>
    </row>
    <row r="4" spans="1:1" x14ac:dyDescent="0.25">
      <c r="A4" s="45">
        <v>675000</v>
      </c>
    </row>
    <row r="5" spans="1:1" x14ac:dyDescent="0.25">
      <c r="A5" s="45">
        <v>270000</v>
      </c>
    </row>
    <row r="6" spans="1:1" x14ac:dyDescent="0.25">
      <c r="A6" s="45">
        <v>675000</v>
      </c>
    </row>
    <row r="7" spans="1:1" x14ac:dyDescent="0.25">
      <c r="A7" s="45">
        <v>380000</v>
      </c>
    </row>
    <row r="8" spans="1:1" x14ac:dyDescent="0.25">
      <c r="A8" s="45">
        <v>160000</v>
      </c>
    </row>
    <row r="9" spans="1:1" x14ac:dyDescent="0.25">
      <c r="A9" s="50">
        <v>450000</v>
      </c>
    </row>
    <row r="10" spans="1:1" x14ac:dyDescent="0.25">
      <c r="A10" s="50">
        <v>92500</v>
      </c>
    </row>
    <row r="11" spans="1:1" x14ac:dyDescent="0.25">
      <c r="A11" s="50">
        <v>380000</v>
      </c>
    </row>
    <row r="12" spans="1:1" x14ac:dyDescent="0.25">
      <c r="A12" s="50">
        <v>380000</v>
      </c>
    </row>
    <row r="13" spans="1:1" x14ac:dyDescent="0.25">
      <c r="A13" s="50">
        <v>227500</v>
      </c>
    </row>
    <row r="14" spans="1:1" x14ac:dyDescent="0.25">
      <c r="A14" s="50">
        <v>317500</v>
      </c>
    </row>
    <row r="15" spans="1:1" x14ac:dyDescent="0.25">
      <c r="A15" s="50">
        <v>200000</v>
      </c>
    </row>
    <row r="16" spans="1:1" x14ac:dyDescent="0.25">
      <c r="A16" s="50">
        <v>240000</v>
      </c>
    </row>
    <row r="17" spans="1:1" x14ac:dyDescent="0.25">
      <c r="A17" s="7">
        <v>80000</v>
      </c>
    </row>
    <row r="18" spans="1:1" x14ac:dyDescent="0.25">
      <c r="A18" s="50">
        <v>50000</v>
      </c>
    </row>
    <row r="19" spans="1:1" x14ac:dyDescent="0.25">
      <c r="A19" s="50">
        <v>160000</v>
      </c>
    </row>
    <row r="20" spans="1:1" x14ac:dyDescent="0.25">
      <c r="A20" s="50">
        <v>95000</v>
      </c>
    </row>
    <row r="21" spans="1:1" x14ac:dyDescent="0.25">
      <c r="A21" s="50">
        <v>50000</v>
      </c>
    </row>
    <row r="22" spans="1:1" x14ac:dyDescent="0.25">
      <c r="A22" s="50">
        <v>50000</v>
      </c>
    </row>
    <row r="23" spans="1:1" x14ac:dyDescent="0.25">
      <c r="A23" s="50">
        <v>50000</v>
      </c>
    </row>
    <row r="24" spans="1:1" x14ac:dyDescent="0.25">
      <c r="A24" s="7">
        <v>135000</v>
      </c>
    </row>
    <row r="25" spans="1:1" x14ac:dyDescent="0.25">
      <c r="A25" s="50">
        <v>50000</v>
      </c>
    </row>
    <row r="26" spans="1:1" x14ac:dyDescent="0.25">
      <c r="A26" s="50">
        <v>157000</v>
      </c>
    </row>
    <row r="27" spans="1:1" x14ac:dyDescent="0.25">
      <c r="A27" s="60">
        <v>100000</v>
      </c>
    </row>
    <row r="28" spans="1:1" x14ac:dyDescent="0.25">
      <c r="A28" s="7">
        <v>60000</v>
      </c>
    </row>
    <row r="29" spans="1:1" x14ac:dyDescent="0.25">
      <c r="A29" s="50">
        <v>50000</v>
      </c>
    </row>
    <row r="30" spans="1:1" x14ac:dyDescent="0.25">
      <c r="A30" s="7">
        <v>95000</v>
      </c>
    </row>
    <row r="31" spans="1:1" x14ac:dyDescent="0.25">
      <c r="A31" s="68">
        <v>50000</v>
      </c>
    </row>
    <row r="32" spans="1:1" x14ac:dyDescent="0.25">
      <c r="A32" s="50">
        <v>253000</v>
      </c>
    </row>
    <row r="33" spans="1:3" x14ac:dyDescent="0.25">
      <c r="A33" s="50">
        <v>450000</v>
      </c>
    </row>
    <row r="34" spans="1:3" x14ac:dyDescent="0.25">
      <c r="A34" s="99">
        <f>SUM(A1:A33)</f>
        <v>7667500</v>
      </c>
      <c r="C34" s="99">
        <v>2186250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Transaksi</vt:lpstr>
      <vt:lpstr>Ringkasan</vt:lpstr>
      <vt:lpstr>Ceklist Camping</vt:lpstr>
      <vt:lpstr>Corat Coret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2026-05-21T01:52:15Z</dcterms:created>
  <dcterms:modified xsi:type="dcterms:W3CDTF">2026-09-30T12:18:43Z</dcterms:modified>
</cp:coreProperties>
</file>